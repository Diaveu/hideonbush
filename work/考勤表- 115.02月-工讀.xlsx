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4c34cb39035f021/文件/桌面/"/>
    </mc:Choice>
  </mc:AlternateContent>
  <xr:revisionPtr revIDLastSave="0" documentId="8_{3BA767F9-E831-4080-957F-29F854D97E47}" xr6:coauthVersionLast="47" xr6:coauthVersionMax="47" xr10:uidLastSave="{00000000-0000-0000-0000-000000000000}"/>
  <bookViews>
    <workbookView xWindow="-110" yWindow="-110" windowWidth="19420" windowHeight="10300" tabRatio="890" activeTab="4" xr2:uid="{00000000-000D-0000-FFFF-FFFF00000000}"/>
  </bookViews>
  <sheets>
    <sheet name="0" sheetId="73" r:id="rId1"/>
    <sheet name="黃筱渝Vicky" sheetId="82" r:id="rId2"/>
    <sheet name="林佳琪Jin" sheetId="74" r:id="rId3"/>
    <sheet name="董嘉恩Ian" sheetId="85" r:id="rId4"/>
    <sheet name="呂奕葳Eva" sheetId="83" r:id="rId5"/>
    <sheet name="蔡孟凌 Vicky" sheetId="86" r:id="rId6"/>
    <sheet name="李苡寧Sabrina" sheetId="81" r:id="rId7"/>
    <sheet name="辜郁慈Tina" sheetId="87" r:id="rId8"/>
    <sheet name="葉庭蓁Kitty" sheetId="88" r:id="rId9"/>
    <sheet name="鳳文嫙Wendy" sheetId="89" r:id="rId10"/>
  </sheets>
  <definedNames>
    <definedName name="_xlnm.Print_Area" localSheetId="0">'0'!$A$1:$M$28</definedName>
    <definedName name="_xlnm.Print_Area" localSheetId="4">呂奕葳Eva!$A$1:$M$41</definedName>
    <definedName name="_xlnm.Print_Area" localSheetId="6">李苡寧Sabrina!$A$1:$M$41</definedName>
    <definedName name="_xlnm.Print_Area" localSheetId="2">林佳琪Jin!$A$1:$M$39</definedName>
    <definedName name="_xlnm.Print_Area" localSheetId="7">辜郁慈Tina!$A$1:$M$41</definedName>
    <definedName name="_xlnm.Print_Area" localSheetId="1">黃筱渝Vicky!$A$1:$M$39</definedName>
    <definedName name="_xlnm.Print_Area" localSheetId="8">葉庭蓁Kitty!$A$1:$M$41</definedName>
    <definedName name="_xlnm.Print_Area" localSheetId="3">董嘉恩Ian!$A$1:$M$41</definedName>
    <definedName name="_xlnm.Print_Area" localSheetId="9">鳳文嫙Wendy!$A$1:$M$41</definedName>
    <definedName name="_xlnm.Print_Area" localSheetId="5">'蔡孟凌 Vicky'!$A$1:$M$41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89" l="1"/>
  <c r="L9" i="89" s="1"/>
  <c r="H11" i="88"/>
  <c r="L11" i="88" s="1"/>
  <c r="H12" i="88"/>
  <c r="L12" i="88" s="1"/>
  <c r="H13" i="88"/>
  <c r="L13" i="88" s="1"/>
  <c r="H9" i="88"/>
  <c r="L9" i="88" s="1"/>
  <c r="H10" i="88"/>
  <c r="L10" i="88" s="1"/>
  <c r="H8" i="89"/>
  <c r="L8" i="89" s="1"/>
  <c r="H7" i="89"/>
  <c r="L7" i="89" s="1"/>
  <c r="H6" i="89"/>
  <c r="A1" i="89"/>
  <c r="H8" i="88"/>
  <c r="L8" i="88" s="1"/>
  <c r="H7" i="88"/>
  <c r="L7" i="88" s="1"/>
  <c r="H6" i="88"/>
  <c r="A1" i="88"/>
  <c r="H19" i="85"/>
  <c r="L19" i="85"/>
  <c r="H20" i="85"/>
  <c r="L20" i="85"/>
  <c r="H21" i="85"/>
  <c r="L21" i="85" s="1"/>
  <c r="H22" i="85"/>
  <c r="L22" i="85" s="1"/>
  <c r="H23" i="85"/>
  <c r="L23" i="85"/>
  <c r="H24" i="85"/>
  <c r="L24" i="85"/>
  <c r="H25" i="85"/>
  <c r="L25" i="85" s="1"/>
  <c r="L39" i="85" s="1"/>
  <c r="H26" i="85"/>
  <c r="L26" i="85" s="1"/>
  <c r="H27" i="85"/>
  <c r="L27" i="85"/>
  <c r="H28" i="85"/>
  <c r="L28" i="85"/>
  <c r="H29" i="85"/>
  <c r="L29" i="85"/>
  <c r="H30" i="85"/>
  <c r="L30" i="85" s="1"/>
  <c r="L16" i="85"/>
  <c r="L10" i="85"/>
  <c r="L8" i="85"/>
  <c r="H30" i="74"/>
  <c r="H29" i="74"/>
  <c r="L29" i="74" s="1"/>
  <c r="H28" i="74"/>
  <c r="L28" i="74" s="1"/>
  <c r="H27" i="74"/>
  <c r="L27" i="74" s="1"/>
  <c r="H26" i="74"/>
  <c r="H25" i="74"/>
  <c r="L25" i="74" s="1"/>
  <c r="H24" i="74"/>
  <c r="L24" i="74" s="1"/>
  <c r="H15" i="82"/>
  <c r="L15" i="82" s="1"/>
  <c r="H11" i="82"/>
  <c r="L11" i="82" s="1"/>
  <c r="H12" i="82"/>
  <c r="H13" i="82"/>
  <c r="H14" i="82"/>
  <c r="L14" i="82" s="1"/>
  <c r="L13" i="82"/>
  <c r="L16" i="82"/>
  <c r="L9" i="82"/>
  <c r="L6" i="82"/>
  <c r="L6" i="81"/>
  <c r="L18" i="86"/>
  <c r="L8" i="87"/>
  <c r="L7" i="87"/>
  <c r="L26" i="74"/>
  <c r="L30" i="74"/>
  <c r="L15" i="83"/>
  <c r="L12" i="74"/>
  <c r="L19" i="74"/>
  <c r="H8" i="85"/>
  <c r="H9" i="85"/>
  <c r="L9" i="85" s="1"/>
  <c r="H10" i="85"/>
  <c r="H11" i="85"/>
  <c r="L11" i="85" s="1"/>
  <c r="H12" i="85"/>
  <c r="L12" i="85" s="1"/>
  <c r="H13" i="85"/>
  <c r="L13" i="85" s="1"/>
  <c r="H14" i="85"/>
  <c r="L14" i="85" s="1"/>
  <c r="H15" i="85"/>
  <c r="L15" i="85" s="1"/>
  <c r="H16" i="85"/>
  <c r="H17" i="85"/>
  <c r="L17" i="85" s="1"/>
  <c r="H18" i="85"/>
  <c r="L18" i="85" s="1"/>
  <c r="H8" i="82"/>
  <c r="L8" i="82" s="1"/>
  <c r="H9" i="82"/>
  <c r="H10" i="82"/>
  <c r="L10" i="82" s="1"/>
  <c r="L12" i="82"/>
  <c r="A1" i="81"/>
  <c r="A1" i="86"/>
  <c r="A1" i="83"/>
  <c r="A1" i="85"/>
  <c r="A1" i="74"/>
  <c r="H7" i="82"/>
  <c r="L7" i="82" s="1"/>
  <c r="H39" i="89" l="1"/>
  <c r="H39" i="88"/>
  <c r="L39" i="89"/>
  <c r="M40" i="89"/>
  <c r="M40" i="88"/>
  <c r="L39" i="88"/>
  <c r="H26" i="81"/>
  <c r="L26" i="81" s="1"/>
  <c r="H25" i="81"/>
  <c r="L25" i="81" s="1"/>
  <c r="H24" i="81"/>
  <c r="L24" i="81" s="1"/>
  <c r="H23" i="81"/>
  <c r="L23" i="81" s="1"/>
  <c r="H22" i="81"/>
  <c r="L22" i="81" s="1"/>
  <c r="H21" i="81"/>
  <c r="L21" i="81" s="1"/>
  <c r="H20" i="81"/>
  <c r="L20" i="81" s="1"/>
  <c r="H19" i="81"/>
  <c r="L19" i="81" s="1"/>
  <c r="H18" i="81"/>
  <c r="L18" i="81" s="1"/>
  <c r="H17" i="81"/>
  <c r="L17" i="81" s="1"/>
  <c r="H16" i="81"/>
  <c r="L16" i="81" s="1"/>
  <c r="H15" i="81"/>
  <c r="L15" i="81" s="1"/>
  <c r="H14" i="81"/>
  <c r="L14" i="81" s="1"/>
  <c r="H13" i="81"/>
  <c r="L13" i="81" s="1"/>
  <c r="H12" i="81"/>
  <c r="L12" i="81" s="1"/>
  <c r="H11" i="81"/>
  <c r="L11" i="81" s="1"/>
  <c r="H10" i="81"/>
  <c r="L10" i="81" s="1"/>
  <c r="H9" i="81"/>
  <c r="L9" i="81" s="1"/>
  <c r="H8" i="81"/>
  <c r="L8" i="81" s="1"/>
  <c r="H7" i="81"/>
  <c r="L7" i="81" s="1"/>
  <c r="H6" i="81"/>
  <c r="H22" i="83"/>
  <c r="L22" i="83" s="1"/>
  <c r="H21" i="83"/>
  <c r="L21" i="83" s="1"/>
  <c r="H20" i="83"/>
  <c r="L20" i="83" s="1"/>
  <c r="H19" i="83"/>
  <c r="L19" i="83" s="1"/>
  <c r="H18" i="83"/>
  <c r="L18" i="83" s="1"/>
  <c r="H17" i="83"/>
  <c r="L17" i="83" s="1"/>
  <c r="H16" i="83"/>
  <c r="L16" i="83" s="1"/>
  <c r="H15" i="83"/>
  <c r="H14" i="83"/>
  <c r="L14" i="83" s="1"/>
  <c r="H13" i="83"/>
  <c r="L13" i="83" s="1"/>
  <c r="H12" i="83"/>
  <c r="L12" i="83" s="1"/>
  <c r="H11" i="83"/>
  <c r="L11" i="83" s="1"/>
  <c r="H10" i="83"/>
  <c r="L10" i="83" s="1"/>
  <c r="H9" i="83"/>
  <c r="L9" i="83" s="1"/>
  <c r="H8" i="83"/>
  <c r="L8" i="83" s="1"/>
  <c r="H7" i="83"/>
  <c r="L7" i="83" s="1"/>
  <c r="H6" i="83"/>
  <c r="H7" i="85"/>
  <c r="L7" i="85" s="1"/>
  <c r="H6" i="85"/>
  <c r="H23" i="74"/>
  <c r="L23" i="74" s="1"/>
  <c r="H22" i="74"/>
  <c r="L22" i="74" s="1"/>
  <c r="H21" i="74"/>
  <c r="L21" i="74" s="1"/>
  <c r="H20" i="74"/>
  <c r="L20" i="74" s="1"/>
  <c r="H19" i="74"/>
  <c r="H18" i="74"/>
  <c r="L18" i="74" s="1"/>
  <c r="H17" i="74"/>
  <c r="L17" i="74" s="1"/>
  <c r="H16" i="74"/>
  <c r="L16" i="74" s="1"/>
  <c r="H15" i="74"/>
  <c r="L15" i="74" s="1"/>
  <c r="H14" i="74"/>
  <c r="L14" i="74" s="1"/>
  <c r="H13" i="74"/>
  <c r="L13" i="74" s="1"/>
  <c r="H12" i="74"/>
  <c r="H11" i="74"/>
  <c r="L11" i="74" s="1"/>
  <c r="H10" i="74"/>
  <c r="L10" i="74" s="1"/>
  <c r="H9" i="74"/>
  <c r="L9" i="74" s="1"/>
  <c r="H8" i="74"/>
  <c r="L8" i="74" s="1"/>
  <c r="H7" i="74"/>
  <c r="L7" i="74" s="1"/>
  <c r="L6" i="74"/>
  <c r="H6" i="74"/>
  <c r="H18" i="86"/>
  <c r="H17" i="86"/>
  <c r="L17" i="86" s="1"/>
  <c r="H16" i="86"/>
  <c r="L16" i="86" s="1"/>
  <c r="H15" i="86"/>
  <c r="L15" i="86" s="1"/>
  <c r="H14" i="86"/>
  <c r="L14" i="86" s="1"/>
  <c r="H13" i="86"/>
  <c r="L13" i="86" s="1"/>
  <c r="H12" i="86"/>
  <c r="L12" i="86" s="1"/>
  <c r="H11" i="86"/>
  <c r="L11" i="86" s="1"/>
  <c r="H10" i="86"/>
  <c r="L10" i="86" s="1"/>
  <c r="H9" i="86"/>
  <c r="L9" i="86" s="1"/>
  <c r="H8" i="86"/>
  <c r="L8" i="86" s="1"/>
  <c r="H7" i="86"/>
  <c r="L7" i="86" s="1"/>
  <c r="H6" i="86"/>
  <c r="L39" i="83" l="1"/>
  <c r="H39" i="86"/>
  <c r="H39" i="83"/>
  <c r="H39" i="85"/>
  <c r="M40" i="81"/>
  <c r="L39" i="81"/>
  <c r="H39" i="81"/>
  <c r="M38" i="74"/>
  <c r="L37" i="74"/>
  <c r="H37" i="74"/>
  <c r="M40" i="83" l="1"/>
  <c r="M40" i="85"/>
  <c r="M40" i="86"/>
  <c r="L39" i="86"/>
  <c r="H8" i="87" l="1"/>
  <c r="H7" i="87"/>
  <c r="H6" i="87"/>
  <c r="A1" i="87"/>
  <c r="H6" i="82"/>
  <c r="A1" i="82"/>
  <c r="H39" i="87" l="1"/>
  <c r="H37" i="82"/>
  <c r="M38" i="82"/>
  <c r="H8" i="73"/>
  <c r="L8" i="73" s="1"/>
  <c r="H9" i="73"/>
  <c r="L9" i="73" s="1"/>
  <c r="H10" i="73"/>
  <c r="L10" i="73" s="1"/>
  <c r="H11" i="73"/>
  <c r="L11" i="73" s="1"/>
  <c r="H12" i="73"/>
  <c r="L12" i="73" s="1"/>
  <c r="H13" i="73"/>
  <c r="L13" i="73" s="1"/>
  <c r="H14" i="73"/>
  <c r="L14" i="73" s="1"/>
  <c r="H15" i="73"/>
  <c r="L15" i="73" s="1"/>
  <c r="H16" i="73"/>
  <c r="L16" i="73" s="1"/>
  <c r="H17" i="73"/>
  <c r="L17" i="73" s="1"/>
  <c r="H18" i="73"/>
  <c r="L18" i="73" s="1"/>
  <c r="H19" i="73"/>
  <c r="L19" i="73" s="1"/>
  <c r="H20" i="73"/>
  <c r="L20" i="73" s="1"/>
  <c r="H21" i="73"/>
  <c r="L21" i="73" s="1"/>
  <c r="H22" i="73"/>
  <c r="L22" i="73" s="1"/>
  <c r="H23" i="73"/>
  <c r="L23" i="73" s="1"/>
  <c r="H24" i="73"/>
  <c r="L24" i="73" s="1"/>
  <c r="M40" i="87" l="1"/>
  <c r="L39" i="87"/>
  <c r="L37" i="82"/>
  <c r="H25" i="73" l="1"/>
  <c r="L25" i="73" s="1"/>
  <c r="H7" i="73" l="1"/>
  <c r="H6" i="73"/>
  <c r="L7" i="73" l="1"/>
  <c r="L26" i="73" s="1"/>
  <c r="H26" i="73"/>
  <c r="M27" i="73" l="1"/>
</calcChain>
</file>

<file path=xl/sharedStrings.xml><?xml version="1.0" encoding="utf-8"?>
<sst xmlns="http://schemas.openxmlformats.org/spreadsheetml/2006/main" count="377" uniqueCount="103">
  <si>
    <t>職稱</t>
  </si>
  <si>
    <t>中文                         姓名</t>
    <phoneticPr fontId="1" type="noConversion"/>
  </si>
  <si>
    <t>日期</t>
  </si>
  <si>
    <t>請假</t>
  </si>
  <si>
    <t>遲到</t>
  </si>
  <si>
    <t>津貼</t>
  </si>
  <si>
    <t>備註</t>
    <phoneticPr fontId="4" type="noConversion"/>
  </si>
  <si>
    <t>事假</t>
  </si>
  <si>
    <t>病假</t>
  </si>
  <si>
    <t>休假</t>
  </si>
  <si>
    <t>其它</t>
  </si>
  <si>
    <t>次</t>
  </si>
  <si>
    <t>分</t>
  </si>
  <si>
    <t>單週六</t>
  </si>
  <si>
    <t>活動</t>
  </si>
  <si>
    <t>時間</t>
    <phoneticPr fontId="9" type="noConversion"/>
  </si>
  <si>
    <t>補休(-) /加班、特休(+)  (天)</t>
    <phoneticPr fontId="1" type="noConversion"/>
  </si>
  <si>
    <t>剩餘hr</t>
    <phoneticPr fontId="4" type="noConversion"/>
  </si>
  <si>
    <t>時數</t>
  </si>
  <si>
    <t>值班</t>
  </si>
  <si>
    <t>時間計算</t>
    <phoneticPr fontId="4" type="noConversion"/>
  </si>
  <si>
    <t>扣勞保自付額</t>
    <phoneticPr fontId="9" type="noConversion"/>
  </si>
  <si>
    <t>總計</t>
    <phoneticPr fontId="1" type="noConversion"/>
  </si>
  <si>
    <t>特補休</t>
    <phoneticPr fontId="4" type="noConversion"/>
  </si>
  <si>
    <t>結算後</t>
    <phoneticPr fontId="1" type="noConversion"/>
  </si>
  <si>
    <t>PS.  1.補休、加班及特休請於備註欄詳載情況。    2.活動請詳述發放津貼或加班休假，並於備註欄備註原因。        981019更新</t>
    <phoneticPr fontId="1" type="noConversion"/>
  </si>
  <si>
    <t>助教</t>
    <phoneticPr fontId="4" type="noConversion"/>
  </si>
  <si>
    <t>黃筱渝</t>
    <phoneticPr fontId="1" type="noConversion"/>
  </si>
  <si>
    <t>Vicky</t>
    <phoneticPr fontId="9" type="noConversion"/>
  </si>
  <si>
    <t>(300/HR)國一生物家教班學生</t>
    <phoneticPr fontId="9" type="noConversion"/>
  </si>
  <si>
    <t>備註</t>
    <phoneticPr fontId="1" type="noConversion"/>
  </si>
  <si>
    <t>剩餘hr</t>
    <phoneticPr fontId="1" type="noConversion"/>
  </si>
  <si>
    <t>助教</t>
    <phoneticPr fontId="1" type="noConversion"/>
  </si>
  <si>
    <t>林佳琪</t>
    <phoneticPr fontId="1" type="noConversion"/>
  </si>
  <si>
    <t>時間計算</t>
    <phoneticPr fontId="1" type="noConversion"/>
  </si>
  <si>
    <t>Jin</t>
    <phoneticPr fontId="9" type="noConversion"/>
  </si>
  <si>
    <t>112.08.31 開始加保</t>
    <phoneticPr fontId="9" type="noConversion"/>
  </si>
  <si>
    <t>每月喬聖安親月費key單補貼</t>
  </si>
  <si>
    <t>特補休</t>
    <phoneticPr fontId="1" type="noConversion"/>
  </si>
  <si>
    <t>董嘉恩Ian</t>
    <phoneticPr fontId="1" type="noConversion"/>
  </si>
  <si>
    <t>114.09.08簽約加保</t>
    <phoneticPr fontId="9" type="noConversion"/>
  </si>
  <si>
    <t>(300/HR)國一數學家教班學生</t>
    <phoneticPr fontId="9" type="noConversion"/>
  </si>
  <si>
    <t>呂奕葳</t>
    <phoneticPr fontId="1" type="noConversion"/>
  </si>
  <si>
    <t>Eva</t>
    <phoneticPr fontId="9" type="noConversion"/>
  </si>
  <si>
    <t>1140904 開始加保</t>
    <phoneticPr fontId="9" type="noConversion"/>
  </si>
  <si>
    <t>辜郁慈Tina</t>
    <phoneticPr fontId="1" type="noConversion"/>
  </si>
  <si>
    <t>蔡孟凌 Vicky</t>
    <phoneticPr fontId="9" type="noConversion"/>
  </si>
  <si>
    <t>11401027 開始加保</t>
    <phoneticPr fontId="9" type="noConversion"/>
  </si>
  <si>
    <t>李苡寧</t>
    <phoneticPr fontId="1" type="noConversion"/>
  </si>
  <si>
    <t>Sabrina</t>
    <phoneticPr fontId="9" type="noConversion"/>
  </si>
  <si>
    <r>
      <t>115</t>
    </r>
    <r>
      <rPr>
        <sz val="16"/>
        <rFont val="細明體"/>
        <family val="3"/>
        <charset val="136"/>
      </rPr>
      <t>年</t>
    </r>
    <r>
      <rPr>
        <sz val="16"/>
        <rFont val="Times New Roman"/>
        <family val="1"/>
      </rPr>
      <t>1</t>
    </r>
    <r>
      <rPr>
        <sz val="16"/>
        <rFont val="細明體"/>
        <family val="3"/>
        <charset val="136"/>
      </rPr>
      <t>月起基本薪資</t>
    </r>
    <r>
      <rPr>
        <sz val="16"/>
        <rFont val="Times New Roman"/>
        <family val="1"/>
      </rPr>
      <t>196</t>
    </r>
    <r>
      <rPr>
        <sz val="16"/>
        <rFont val="細明體"/>
        <family val="3"/>
        <charset val="136"/>
      </rPr>
      <t>元</t>
    </r>
    <r>
      <rPr>
        <sz val="16"/>
        <rFont val="Times New Roman"/>
        <family val="1"/>
      </rPr>
      <t>/HR</t>
    </r>
    <phoneticPr fontId="9" type="noConversion"/>
  </si>
  <si>
    <r>
      <rPr>
        <sz val="20"/>
        <rFont val="細明體"/>
        <family val="3"/>
        <charset val="136"/>
      </rPr>
      <t>育聖文理短期補習班</t>
    </r>
    <r>
      <rPr>
        <sz val="20"/>
        <rFont val="Times New Roman"/>
        <family val="1"/>
      </rPr>
      <t xml:space="preserve">  115</t>
    </r>
    <r>
      <rPr>
        <sz val="20"/>
        <rFont val="細明體"/>
        <family val="3"/>
        <charset val="136"/>
      </rPr>
      <t>年</t>
    </r>
    <r>
      <rPr>
        <sz val="20"/>
        <rFont val="Times New Roman"/>
        <family val="3"/>
      </rPr>
      <t>1</t>
    </r>
    <r>
      <rPr>
        <sz val="20"/>
        <rFont val="細明體"/>
        <family val="3"/>
        <charset val="136"/>
      </rPr>
      <t>月份出勤考核總表</t>
    </r>
    <phoneticPr fontId="4" type="noConversion"/>
  </si>
  <si>
    <t>114.10.02 開始加保(115.01.23退保)</t>
    <phoneticPr fontId="9" type="noConversion"/>
  </si>
  <si>
    <t>114.06.18 開始加保(115.01.23退保)</t>
    <phoneticPr fontId="9" type="noConversion"/>
  </si>
  <si>
    <t>9870-203=9667</t>
    <phoneticPr fontId="9" type="noConversion"/>
  </si>
  <si>
    <t>7252-203=7049</t>
    <phoneticPr fontId="9" type="noConversion"/>
  </si>
  <si>
    <t>8624-277=8347</t>
    <phoneticPr fontId="9" type="noConversion"/>
  </si>
  <si>
    <t>1月2日</t>
    <phoneticPr fontId="9" type="noConversion"/>
  </si>
  <si>
    <t>1月3日</t>
  </si>
  <si>
    <t>1月5日</t>
    <phoneticPr fontId="9" type="noConversion"/>
  </si>
  <si>
    <t>1月7日</t>
  </si>
  <si>
    <t>1月7日</t>
    <phoneticPr fontId="9" type="noConversion"/>
  </si>
  <si>
    <t>1月10日</t>
    <phoneticPr fontId="9" type="noConversion"/>
  </si>
  <si>
    <t>1月12日</t>
    <phoneticPr fontId="9" type="noConversion"/>
  </si>
  <si>
    <t>1月13日</t>
  </si>
  <si>
    <t>1月14日</t>
  </si>
  <si>
    <t>1月16日</t>
    <phoneticPr fontId="9" type="noConversion"/>
  </si>
  <si>
    <t>1月17日</t>
  </si>
  <si>
    <t>1月19日</t>
    <phoneticPr fontId="9" type="noConversion"/>
  </si>
  <si>
    <t>1月20日</t>
  </si>
  <si>
    <t>1月21日</t>
  </si>
  <si>
    <t>1月23日</t>
    <phoneticPr fontId="9" type="noConversion"/>
  </si>
  <si>
    <t>1月24日</t>
  </si>
  <si>
    <t>1月26日</t>
    <phoneticPr fontId="9" type="noConversion"/>
  </si>
  <si>
    <t>1月27日</t>
  </si>
  <si>
    <t>1月28日</t>
  </si>
  <si>
    <t>1月30日</t>
  </si>
  <si>
    <t>1月30日</t>
    <phoneticPr fontId="9" type="noConversion"/>
  </si>
  <si>
    <t>1月31日</t>
  </si>
  <si>
    <t>19820-277=19543</t>
    <phoneticPr fontId="9" type="noConversion"/>
  </si>
  <si>
    <t>1月6日</t>
  </si>
  <si>
    <t>1月8日</t>
  </si>
  <si>
    <t>1月9日</t>
  </si>
  <si>
    <t>1月15日</t>
  </si>
  <si>
    <t>1月3日</t>
    <phoneticPr fontId="1" type="noConversion"/>
  </si>
  <si>
    <t>1月5日</t>
    <phoneticPr fontId="1" type="noConversion"/>
  </si>
  <si>
    <t>1月16日</t>
    <phoneticPr fontId="1" type="noConversion"/>
  </si>
  <si>
    <t>1月21日</t>
    <phoneticPr fontId="1" type="noConversion"/>
  </si>
  <si>
    <t>1月22日</t>
  </si>
  <si>
    <t>1月23日</t>
    <phoneticPr fontId="1" type="noConversion"/>
  </si>
  <si>
    <t>1月29日</t>
    <phoneticPr fontId="1" type="noConversion"/>
  </si>
  <si>
    <t>1月10日</t>
    <phoneticPr fontId="1" type="noConversion"/>
  </si>
  <si>
    <t>`</t>
    <phoneticPr fontId="9" type="noConversion"/>
  </si>
  <si>
    <t>葉庭蓁Kitty</t>
    <phoneticPr fontId="1" type="noConversion"/>
  </si>
  <si>
    <t>1月5日</t>
    <phoneticPr fontId="9" type="noConversion"/>
  </si>
  <si>
    <t>1月7日</t>
    <phoneticPr fontId="9" type="noConversion"/>
  </si>
  <si>
    <t>1月15日</t>
    <phoneticPr fontId="9" type="noConversion"/>
  </si>
  <si>
    <t>1月19日</t>
    <phoneticPr fontId="9" type="noConversion"/>
  </si>
  <si>
    <t>1月26日</t>
    <phoneticPr fontId="9" type="noConversion"/>
  </si>
  <si>
    <t>1月29日</t>
    <phoneticPr fontId="9" type="noConversion"/>
  </si>
  <si>
    <t>18236-277=17959</t>
    <phoneticPr fontId="9" type="noConversion"/>
  </si>
  <si>
    <t>1月30日</t>
    <phoneticPr fontId="9" type="noConversion"/>
  </si>
  <si>
    <t>22932-277=22655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</si>
</sst>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$&quot;#,##0_);[Red]\(&quot;$&quot;#,##0\)"/>
    <numFmt numFmtId="177" formatCode="&quot;$&quot;#,##0"/>
    <numFmt numFmtId="178" formatCode="m&quot;月&quot;d&quot;日&quot;"/>
    <numFmt numFmtId="179" formatCode="0.0_);[Red]\(0.0\)"/>
    <numFmt numFmtId="180" formatCode="0.0_ "/>
    <numFmt numFmtId="181" formatCode="0_ "/>
    <numFmt numFmtId="182" formatCode="0.0"/>
    <numFmt numFmtId="183" formatCode="m&quot;月&quot;d&quot;日&quot;;@"/>
  </numFmts>
  <fonts count="29" x14ac:knownFonts="1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9"/>
      <name val="新細明體"/>
      <family val="1"/>
      <charset val="136"/>
    </font>
    <font>
      <sz val="20"/>
      <name val="Times New Roman"/>
      <family val="1"/>
    </font>
    <font>
      <sz val="12"/>
      <name val="新細明體"/>
      <family val="1"/>
      <charset val="136"/>
    </font>
    <font>
      <sz val="20"/>
      <name val="細明體"/>
      <family val="3"/>
      <charset val="136"/>
    </font>
    <font>
      <sz val="12"/>
      <color theme="1"/>
      <name val="新細明體"/>
      <family val="1"/>
      <charset val="136"/>
    </font>
    <font>
      <sz val="9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sz val="16"/>
      <name val="新細明體"/>
      <family val="1"/>
      <charset val="136"/>
    </font>
    <font>
      <sz val="16"/>
      <name val="細明體"/>
      <family val="3"/>
      <charset val="136"/>
    </font>
    <font>
      <sz val="16"/>
      <color theme="1"/>
      <name val="新細明體"/>
      <family val="1"/>
      <charset val="136"/>
    </font>
    <font>
      <sz val="16"/>
      <name val="Times New Roman"/>
      <family val="1"/>
    </font>
    <font>
      <sz val="16"/>
      <color rgb="FFFF0000"/>
      <name val="新細明體"/>
      <family val="1"/>
      <charset val="136"/>
    </font>
    <font>
      <sz val="16"/>
      <color theme="1"/>
      <name val="細明體"/>
      <family val="3"/>
      <charset val="136"/>
    </font>
    <font>
      <sz val="16"/>
      <color indexed="8"/>
      <name val="新細明體"/>
      <family val="1"/>
      <charset val="136"/>
    </font>
    <font>
      <sz val="16"/>
      <color indexed="10"/>
      <name val="新細明體"/>
      <family val="1"/>
      <charset val="136"/>
    </font>
    <font>
      <sz val="20"/>
      <name val="Times New Roman"/>
      <family val="3"/>
      <charset val="136"/>
    </font>
    <font>
      <sz val="18"/>
      <color rgb="FFFF0000"/>
      <name val="新細明體"/>
      <family val="1"/>
      <charset val="136"/>
    </font>
    <font>
      <sz val="16"/>
      <color theme="1"/>
      <name val="Times New Roman"/>
      <family val="1"/>
    </font>
    <font>
      <sz val="16"/>
      <color rgb="FFFF0000"/>
      <name val="細明體"/>
      <family val="3"/>
      <charset val="136"/>
    </font>
    <font>
      <sz val="16"/>
      <color rgb="FFFF0000"/>
      <name val="Times New Roman"/>
      <family val="1"/>
    </font>
    <font>
      <sz val="22"/>
      <color indexed="10"/>
      <name val="新細明體"/>
      <family val="1"/>
      <charset val="136"/>
    </font>
    <font>
      <sz val="22"/>
      <color indexed="8"/>
      <name val="新細明體"/>
      <family val="1"/>
      <charset val="136"/>
    </font>
    <font>
      <sz val="22"/>
      <color rgb="FFFF0000"/>
      <name val="新細明體"/>
      <family val="1"/>
      <charset val="136"/>
    </font>
    <font>
      <sz val="18"/>
      <name val="新細明體"/>
      <family val="1"/>
      <charset val="136"/>
    </font>
    <font>
      <sz val="20"/>
      <name val="Times New Roman"/>
      <family val="3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thick">
        <color indexed="64"/>
      </top>
      <bottom style="thick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127">
    <xf numFmtId="0" fontId="0" fillId="0" borderId="0" xfId="0">
      <alignment vertical="center"/>
    </xf>
    <xf numFmtId="177" fontId="0" fillId="2" borderId="1" xfId="0" applyNumberForma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3" borderId="0" xfId="0" applyFont="1" applyFill="1" applyAlignment="1">
      <alignment horizontal="left" vertical="center"/>
    </xf>
    <xf numFmtId="0" fontId="11" fillId="0" borderId="6" xfId="0" applyFont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182" fontId="10" fillId="4" borderId="0" xfId="0" applyNumberFormat="1" applyFont="1" applyFill="1" applyAlignment="1">
      <alignment horizontal="center" vertical="center"/>
    </xf>
    <xf numFmtId="179" fontId="14" fillId="4" borderId="1" xfId="0" applyNumberFormat="1" applyFont="1" applyFill="1" applyBorder="1" applyAlignment="1">
      <alignment horizontal="center" vertical="top" wrapText="1"/>
    </xf>
    <xf numFmtId="180" fontId="14" fillId="4" borderId="1" xfId="0" applyNumberFormat="1" applyFont="1" applyFill="1" applyBorder="1" applyAlignment="1">
      <alignment horizontal="center" vertical="top" wrapText="1"/>
    </xf>
    <xf numFmtId="180" fontId="11" fillId="4" borderId="1" xfId="0" applyNumberFormat="1" applyFont="1" applyFill="1" applyBorder="1" applyAlignment="1">
      <alignment horizontal="center" vertical="top" wrapText="1"/>
    </xf>
    <xf numFmtId="0" fontId="14" fillId="4" borderId="10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178" fontId="12" fillId="2" borderId="1" xfId="0" applyNumberFormat="1" applyFont="1" applyFill="1" applyBorder="1" applyAlignment="1">
      <alignment horizontal="center" vertical="center" wrapText="1"/>
    </xf>
    <xf numFmtId="180" fontId="12" fillId="2" borderId="3" xfId="0" applyNumberFormat="1" applyFont="1" applyFill="1" applyBorder="1" applyAlignment="1">
      <alignment horizontal="center" vertical="center" wrapText="1"/>
    </xf>
    <xf numFmtId="182" fontId="14" fillId="2" borderId="3" xfId="0" applyNumberFormat="1" applyFont="1" applyFill="1" applyBorder="1" applyAlignment="1">
      <alignment horizontal="center" vertical="center" wrapText="1"/>
    </xf>
    <xf numFmtId="181" fontId="14" fillId="2" borderId="1" xfId="0" applyNumberFormat="1" applyFont="1" applyFill="1" applyBorder="1" applyAlignment="1">
      <alignment horizontal="center" vertical="center" wrapText="1"/>
    </xf>
    <xf numFmtId="182" fontId="16" fillId="2" borderId="1" xfId="0" applyNumberFormat="1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top" wrapText="1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181" fontId="14" fillId="2" borderId="3" xfId="0" applyNumberFormat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180" fontId="15" fillId="0" borderId="17" xfId="0" applyNumberFormat="1" applyFont="1" applyBorder="1" applyAlignment="1">
      <alignment horizontal="center" vertical="center" wrapText="1"/>
    </xf>
    <xf numFmtId="180" fontId="17" fillId="0" borderId="2" xfId="0" applyNumberFormat="1" applyFont="1" applyBorder="1" applyAlignment="1">
      <alignment horizontal="center" vertical="top" wrapText="1"/>
    </xf>
    <xf numFmtId="181" fontId="17" fillId="0" borderId="2" xfId="0" applyNumberFormat="1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top" wrapText="1"/>
    </xf>
    <xf numFmtId="180" fontId="17" fillId="0" borderId="1" xfId="0" applyNumberFormat="1" applyFont="1" applyBorder="1" applyAlignment="1">
      <alignment horizontal="center" vertical="top" wrapText="1"/>
    </xf>
    <xf numFmtId="180" fontId="15" fillId="0" borderId="7" xfId="0" applyNumberFormat="1" applyFont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left" vertical="center" wrapText="1"/>
    </xf>
    <xf numFmtId="181" fontId="12" fillId="2" borderId="3" xfId="0" applyNumberFormat="1" applyFont="1" applyFill="1" applyBorder="1" applyAlignment="1">
      <alignment horizontal="center" vertical="center" wrapText="1"/>
    </xf>
    <xf numFmtId="178" fontId="13" fillId="5" borderId="1" xfId="0" applyNumberFormat="1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180" fontId="12" fillId="5" borderId="3" xfId="0" applyNumberFormat="1" applyFont="1" applyFill="1" applyBorder="1" applyAlignment="1">
      <alignment horizontal="center" vertical="center" wrapText="1"/>
    </xf>
    <xf numFmtId="182" fontId="14" fillId="5" borderId="3" xfId="0" applyNumberFormat="1" applyFont="1" applyFill="1" applyBorder="1" applyAlignment="1">
      <alignment horizontal="center" vertical="center" wrapText="1"/>
    </xf>
    <xf numFmtId="182" fontId="16" fillId="5" borderId="1" xfId="0" applyNumberFormat="1" applyFont="1" applyFill="1" applyBorder="1" applyAlignment="1">
      <alignment horizontal="center" vertical="center"/>
    </xf>
    <xf numFmtId="181" fontId="14" fillId="5" borderId="1" xfId="0" applyNumberFormat="1" applyFont="1" applyFill="1" applyBorder="1" applyAlignment="1">
      <alignment horizontal="center" vertical="center" wrapText="1"/>
    </xf>
    <xf numFmtId="181" fontId="12" fillId="5" borderId="3" xfId="0" applyNumberFormat="1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5" fillId="2" borderId="26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top" wrapText="1"/>
    </xf>
    <xf numFmtId="0" fontId="11" fillId="0" borderId="27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top" wrapText="1"/>
    </xf>
    <xf numFmtId="181" fontId="18" fillId="0" borderId="29" xfId="0" applyNumberFormat="1" applyFont="1" applyBorder="1" applyAlignment="1">
      <alignment horizontal="center" vertical="center" wrapText="1"/>
    </xf>
    <xf numFmtId="0" fontId="6" fillId="0" borderId="30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top" wrapText="1"/>
    </xf>
    <xf numFmtId="0" fontId="6" fillId="0" borderId="32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178" fontId="13" fillId="2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82" fontId="14" fillId="2" borderId="1" xfId="0" applyNumberFormat="1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180" fontId="16" fillId="2" borderId="1" xfId="0" applyNumberFormat="1" applyFont="1" applyFill="1" applyBorder="1" applyAlignment="1">
      <alignment horizontal="center" vertical="center" wrapText="1"/>
    </xf>
    <xf numFmtId="182" fontId="21" fillId="2" borderId="1" xfId="0" applyNumberFormat="1" applyFont="1" applyFill="1" applyBorder="1" applyAlignment="1">
      <alignment horizontal="center" vertical="center" wrapText="1"/>
    </xf>
    <xf numFmtId="181" fontId="21" fillId="2" borderId="1" xfId="0" applyNumberFormat="1" applyFont="1" applyFill="1" applyBorder="1" applyAlignment="1">
      <alignment horizontal="center" vertical="center" wrapText="1"/>
    </xf>
    <xf numFmtId="181" fontId="16" fillId="2" borderId="3" xfId="0" applyNumberFormat="1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top" wrapText="1"/>
    </xf>
    <xf numFmtId="49" fontId="16" fillId="0" borderId="22" xfId="0" applyNumberFormat="1" applyFont="1" applyBorder="1" applyAlignment="1" applyProtection="1">
      <alignment horizontal="left"/>
      <protection locked="0"/>
    </xf>
    <xf numFmtId="0" fontId="16" fillId="2" borderId="10" xfId="0" applyFont="1" applyFill="1" applyBorder="1" applyAlignment="1">
      <alignment horizontal="center" vertical="center" wrapText="1"/>
    </xf>
    <xf numFmtId="181" fontId="21" fillId="2" borderId="3" xfId="0" applyNumberFormat="1" applyFont="1" applyFill="1" applyBorder="1" applyAlignment="1">
      <alignment horizontal="center" vertical="center" wrapText="1"/>
    </xf>
    <xf numFmtId="181" fontId="16" fillId="2" borderId="1" xfId="0" applyNumberFormat="1" applyFont="1" applyFill="1" applyBorder="1" applyAlignment="1">
      <alignment horizontal="center" vertical="center" wrapText="1"/>
    </xf>
    <xf numFmtId="183" fontId="12" fillId="2" borderId="1" xfId="0" applyNumberFormat="1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vertical="center" wrapText="1"/>
    </xf>
    <xf numFmtId="0" fontId="22" fillId="2" borderId="10" xfId="0" applyFont="1" applyFill="1" applyBorder="1" applyAlignment="1">
      <alignment vertical="center" wrapText="1"/>
    </xf>
    <xf numFmtId="0" fontId="12" fillId="2" borderId="10" xfId="0" applyFont="1" applyFill="1" applyBorder="1" applyAlignment="1">
      <alignment vertical="center" wrapText="1"/>
    </xf>
    <xf numFmtId="49" fontId="12" fillId="2" borderId="10" xfId="0" applyNumberFormat="1" applyFont="1" applyFill="1" applyBorder="1" applyAlignment="1" applyProtection="1">
      <alignment horizontal="center"/>
      <protection locked="0"/>
    </xf>
    <xf numFmtId="49" fontId="16" fillId="2" borderId="10" xfId="0" applyNumberFormat="1" applyFont="1" applyFill="1" applyBorder="1" applyAlignment="1" applyProtection="1">
      <protection locked="0"/>
    </xf>
    <xf numFmtId="0" fontId="15" fillId="0" borderId="28" xfId="0" applyFont="1" applyBorder="1" applyAlignment="1">
      <alignment horizontal="center" vertical="center" wrapText="1"/>
    </xf>
    <xf numFmtId="1" fontId="12" fillId="2" borderId="10" xfId="0" applyNumberFormat="1" applyFont="1" applyFill="1" applyBorder="1" applyAlignment="1">
      <alignment horizontal="center" vertical="center" wrapText="1"/>
    </xf>
    <xf numFmtId="182" fontId="22" fillId="2" borderId="1" xfId="0" applyNumberFormat="1" applyFont="1" applyFill="1" applyBorder="1" applyAlignment="1">
      <alignment horizontal="center" vertical="center"/>
    </xf>
    <xf numFmtId="181" fontId="23" fillId="2" borderId="1" xfId="0" applyNumberFormat="1" applyFont="1" applyFill="1" applyBorder="1" applyAlignment="1">
      <alignment horizontal="center" vertical="center" wrapText="1"/>
    </xf>
    <xf numFmtId="181" fontId="24" fillId="0" borderId="29" xfId="0" applyNumberFormat="1" applyFont="1" applyBorder="1" applyAlignment="1">
      <alignment horizontal="center" vertical="center" wrapText="1"/>
    </xf>
    <xf numFmtId="181" fontId="25" fillId="0" borderId="2" xfId="0" applyNumberFormat="1" applyFont="1" applyBorder="1" applyAlignment="1">
      <alignment horizontal="center" vertical="top" wrapText="1"/>
    </xf>
    <xf numFmtId="0" fontId="26" fillId="0" borderId="28" xfId="0" applyFont="1" applyBorder="1" applyAlignment="1">
      <alignment horizontal="center" vertical="center" wrapText="1"/>
    </xf>
    <xf numFmtId="180" fontId="26" fillId="0" borderId="7" xfId="0" applyNumberFormat="1" applyFont="1" applyBorder="1" applyAlignment="1">
      <alignment horizontal="center" vertical="center" wrapText="1"/>
    </xf>
    <xf numFmtId="182" fontId="12" fillId="2" borderId="1" xfId="0" applyNumberFormat="1" applyFont="1" applyFill="1" applyBorder="1" applyAlignment="1">
      <alignment horizontal="center" vertical="center" wrapText="1"/>
    </xf>
    <xf numFmtId="181" fontId="12" fillId="2" borderId="1" xfId="0" applyNumberFormat="1" applyFont="1" applyFill="1" applyBorder="1" applyAlignment="1">
      <alignment horizontal="center" vertical="center" wrapText="1"/>
    </xf>
    <xf numFmtId="182" fontId="16" fillId="2" borderId="1" xfId="0" applyNumberFormat="1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178" fontId="13" fillId="2" borderId="3" xfId="0" applyNumberFormat="1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top" wrapText="1"/>
    </xf>
    <xf numFmtId="0" fontId="11" fillId="2" borderId="34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top" wrapText="1"/>
    </xf>
    <xf numFmtId="178" fontId="12" fillId="2" borderId="6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76" fontId="0" fillId="2" borderId="1" xfId="0" applyNumberForma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180" fontId="11" fillId="4" borderId="4" xfId="0" applyNumberFormat="1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180" fontId="11" fillId="4" borderId="17" xfId="0" applyNumberFormat="1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180" fontId="11" fillId="4" borderId="18" xfId="0" applyNumberFormat="1" applyFont="1" applyFill="1" applyBorder="1" applyAlignment="1">
      <alignment horizontal="center" vertical="center" wrapText="1"/>
    </xf>
    <xf numFmtId="181" fontId="22" fillId="5" borderId="3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8"/>
  <sheetViews>
    <sheetView zoomScale="55" zoomScaleNormal="55" workbookViewId="0">
      <selection activeCell="L14" sqref="L14"/>
    </sheetView>
  </sheetViews>
  <sheetFormatPr defaultColWidth="9" defaultRowHeight="17" x14ac:dyDescent="0.4"/>
  <cols>
    <col min="1" max="1" width="20.90625" style="3" customWidth="1"/>
    <col min="2" max="2" width="21.90625" style="3" customWidth="1"/>
    <col min="3" max="3" width="20.453125" style="3" customWidth="1"/>
    <col min="4" max="5" width="14.90625" style="3" customWidth="1"/>
    <col min="6" max="6" width="21.08984375" style="3" customWidth="1"/>
    <col min="7" max="7" width="11.08984375" style="3" customWidth="1"/>
    <col min="8" max="8" width="11.453125" style="3" customWidth="1"/>
    <col min="9" max="9" width="10.90625" style="3" bestFit="1" customWidth="1"/>
    <col min="10" max="11" width="9" style="3"/>
    <col min="12" max="12" width="13.90625" style="3" customWidth="1"/>
    <col min="13" max="13" width="52.08984375" style="3" customWidth="1"/>
    <col min="14" max="16384" width="9" style="3"/>
  </cols>
  <sheetData>
    <row r="1" spans="1:13" ht="33.75" customHeight="1" x14ac:dyDescent="0.4">
      <c r="A1" s="108" t="s">
        <v>51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10"/>
    </row>
    <row r="2" spans="1:13" ht="23.25" customHeight="1" x14ac:dyDescent="0.4">
      <c r="A2" s="111" t="s">
        <v>0</v>
      </c>
      <c r="B2" s="114" t="s">
        <v>1</v>
      </c>
      <c r="C2" s="117" t="s">
        <v>2</v>
      </c>
      <c r="D2" s="117" t="s">
        <v>3</v>
      </c>
      <c r="E2" s="118"/>
      <c r="F2" s="118"/>
      <c r="G2" s="118"/>
      <c r="H2" s="118"/>
      <c r="I2" s="119" t="s">
        <v>4</v>
      </c>
      <c r="J2" s="120"/>
      <c r="K2" s="117" t="s">
        <v>5</v>
      </c>
      <c r="L2" s="118"/>
      <c r="M2" s="121" t="s">
        <v>6</v>
      </c>
    </row>
    <row r="3" spans="1:13" ht="21" customHeight="1" x14ac:dyDescent="0.4">
      <c r="A3" s="112"/>
      <c r="B3" s="115"/>
      <c r="C3" s="101"/>
      <c r="D3" s="99" t="s">
        <v>7</v>
      </c>
      <c r="E3" s="99" t="s">
        <v>8</v>
      </c>
      <c r="F3" s="100" t="s">
        <v>9</v>
      </c>
      <c r="G3" s="101"/>
      <c r="H3" s="99" t="s">
        <v>10</v>
      </c>
      <c r="I3" s="100" t="s">
        <v>11</v>
      </c>
      <c r="J3" s="100" t="s">
        <v>12</v>
      </c>
      <c r="K3" s="1" t="s">
        <v>13</v>
      </c>
      <c r="L3" s="102" t="s">
        <v>14</v>
      </c>
      <c r="M3" s="122"/>
    </row>
    <row r="4" spans="1:13" ht="27" x14ac:dyDescent="0.4">
      <c r="A4" s="113"/>
      <c r="B4" s="116"/>
      <c r="C4" s="101"/>
      <c r="D4" s="4" t="s">
        <v>15</v>
      </c>
      <c r="E4" s="5" t="s">
        <v>15</v>
      </c>
      <c r="F4" s="2" t="s">
        <v>16</v>
      </c>
      <c r="G4" s="99" t="s">
        <v>17</v>
      </c>
      <c r="H4" s="99" t="s">
        <v>18</v>
      </c>
      <c r="I4" s="101"/>
      <c r="J4" s="101"/>
      <c r="K4" s="1" t="s">
        <v>19</v>
      </c>
      <c r="L4" s="103"/>
      <c r="M4" s="123"/>
    </row>
    <row r="5" spans="1:13" ht="23.5" customHeight="1" x14ac:dyDescent="0.4">
      <c r="A5" s="46"/>
      <c r="B5" s="7"/>
      <c r="C5" s="8"/>
      <c r="D5" s="104" t="s">
        <v>20</v>
      </c>
      <c r="E5" s="105"/>
      <c r="F5" s="9"/>
      <c r="G5" s="10"/>
      <c r="H5" s="11"/>
      <c r="I5" s="12"/>
      <c r="J5" s="12"/>
      <c r="K5" s="12"/>
      <c r="L5" s="13"/>
      <c r="M5" s="14" t="s">
        <v>50</v>
      </c>
    </row>
    <row r="6" spans="1:13" ht="25.5" customHeight="1" x14ac:dyDescent="0.4">
      <c r="A6" s="47"/>
      <c r="B6" s="15"/>
      <c r="C6" s="39" t="s">
        <v>21</v>
      </c>
      <c r="D6" s="40"/>
      <c r="E6" s="40"/>
      <c r="F6" s="41"/>
      <c r="G6" s="42"/>
      <c r="H6" s="43">
        <f t="shared" ref="H6:H23" si="0">E6-D6</f>
        <v>0</v>
      </c>
      <c r="I6" s="44"/>
      <c r="J6" s="44"/>
      <c r="K6" s="43"/>
      <c r="L6" s="45"/>
      <c r="M6" s="63"/>
    </row>
    <row r="7" spans="1:13" ht="25.5" customHeight="1" x14ac:dyDescent="0.4">
      <c r="A7" s="48"/>
      <c r="B7" s="64"/>
      <c r="C7" s="59"/>
      <c r="D7" s="60"/>
      <c r="E7" s="60"/>
      <c r="F7" s="65"/>
      <c r="G7" s="66"/>
      <c r="H7" s="20">
        <f>E7-D7</f>
        <v>0</v>
      </c>
      <c r="I7" s="67"/>
      <c r="J7" s="67"/>
      <c r="K7" s="20"/>
      <c r="L7" s="68">
        <f>190*H7</f>
        <v>0</v>
      </c>
      <c r="M7" s="69"/>
    </row>
    <row r="8" spans="1:13" ht="25.5" customHeight="1" x14ac:dyDescent="0.4">
      <c r="A8" s="22"/>
      <c r="B8" s="64"/>
      <c r="C8" s="59"/>
      <c r="D8" s="60"/>
      <c r="E8" s="60"/>
      <c r="F8" s="65"/>
      <c r="G8" s="66"/>
      <c r="H8" s="20">
        <f>E8-D8</f>
        <v>0</v>
      </c>
      <c r="I8" s="67"/>
      <c r="J8" s="67"/>
      <c r="K8" s="20"/>
      <c r="L8" s="68">
        <f>190*H8</f>
        <v>0</v>
      </c>
      <c r="M8" s="72"/>
    </row>
    <row r="9" spans="1:13" ht="25.5" customHeight="1" x14ac:dyDescent="0.4">
      <c r="A9" s="48"/>
      <c r="B9" s="64"/>
      <c r="C9" s="59"/>
      <c r="D9" s="60"/>
      <c r="E9" s="60"/>
      <c r="F9" s="65"/>
      <c r="G9" s="66"/>
      <c r="H9" s="20">
        <f t="shared" si="0"/>
        <v>0</v>
      </c>
      <c r="I9" s="67"/>
      <c r="J9" s="67"/>
      <c r="K9" s="20"/>
      <c r="L9" s="68">
        <f t="shared" ref="L9:L23" si="1">183*H9</f>
        <v>0</v>
      </c>
      <c r="M9" s="69"/>
    </row>
    <row r="10" spans="1:13" ht="25.5" customHeight="1" x14ac:dyDescent="0.4">
      <c r="A10" s="49"/>
      <c r="B10" s="70"/>
      <c r="C10" s="59"/>
      <c r="D10" s="60"/>
      <c r="E10" s="60"/>
      <c r="F10" s="65"/>
      <c r="G10" s="66"/>
      <c r="H10" s="20">
        <f t="shared" si="0"/>
        <v>0</v>
      </c>
      <c r="I10" s="67"/>
      <c r="J10" s="67"/>
      <c r="K10" s="20"/>
      <c r="L10" s="68">
        <f t="shared" si="1"/>
        <v>0</v>
      </c>
      <c r="M10" s="69"/>
    </row>
    <row r="11" spans="1:13" ht="25.5" customHeight="1" x14ac:dyDescent="0.4">
      <c r="A11" s="49"/>
      <c r="B11" s="70"/>
      <c r="C11" s="59"/>
      <c r="D11" s="60"/>
      <c r="E11" s="60"/>
      <c r="F11" s="65"/>
      <c r="G11" s="66"/>
      <c r="H11" s="20">
        <f t="shared" si="0"/>
        <v>0</v>
      </c>
      <c r="I11" s="67"/>
      <c r="J11" s="67"/>
      <c r="K11" s="20"/>
      <c r="L11" s="68">
        <f t="shared" si="1"/>
        <v>0</v>
      </c>
      <c r="M11" s="69"/>
    </row>
    <row r="12" spans="1:13" ht="25.5" customHeight="1" x14ac:dyDescent="0.45">
      <c r="A12" s="49"/>
      <c r="B12" s="70"/>
      <c r="C12" s="59"/>
      <c r="D12" s="60"/>
      <c r="E12" s="60"/>
      <c r="F12" s="65"/>
      <c r="G12" s="66"/>
      <c r="H12" s="20">
        <f t="shared" si="0"/>
        <v>0</v>
      </c>
      <c r="I12" s="67"/>
      <c r="J12" s="67"/>
      <c r="K12" s="20"/>
      <c r="L12" s="68">
        <f t="shared" si="1"/>
        <v>0</v>
      </c>
      <c r="M12" s="71"/>
    </row>
    <row r="13" spans="1:13" ht="25.5" customHeight="1" x14ac:dyDescent="0.4">
      <c r="A13" s="49"/>
      <c r="B13" s="70"/>
      <c r="C13" s="59"/>
      <c r="D13" s="60"/>
      <c r="E13" s="60"/>
      <c r="F13" s="65"/>
      <c r="G13" s="66"/>
      <c r="H13" s="20">
        <f t="shared" si="0"/>
        <v>0</v>
      </c>
      <c r="I13" s="67"/>
      <c r="J13" s="67"/>
      <c r="K13" s="20"/>
      <c r="L13" s="68">
        <f t="shared" si="1"/>
        <v>0</v>
      </c>
      <c r="M13" s="69"/>
    </row>
    <row r="14" spans="1:13" ht="25.5" customHeight="1" x14ac:dyDescent="0.4">
      <c r="A14" s="49"/>
      <c r="B14" s="70"/>
      <c r="C14" s="59"/>
      <c r="D14" s="60"/>
      <c r="E14" s="60"/>
      <c r="F14" s="65"/>
      <c r="G14" s="66"/>
      <c r="H14" s="20">
        <f t="shared" si="0"/>
        <v>0</v>
      </c>
      <c r="I14" s="67"/>
      <c r="J14" s="67"/>
      <c r="K14" s="20"/>
      <c r="L14" s="68">
        <f t="shared" si="1"/>
        <v>0</v>
      </c>
      <c r="M14" s="69"/>
    </row>
    <row r="15" spans="1:13" ht="25.5" customHeight="1" x14ac:dyDescent="0.4">
      <c r="A15" s="49"/>
      <c r="B15" s="70"/>
      <c r="C15" s="59"/>
      <c r="D15" s="60"/>
      <c r="E15" s="60"/>
      <c r="F15" s="65"/>
      <c r="G15" s="66"/>
      <c r="H15" s="20">
        <f t="shared" si="0"/>
        <v>0</v>
      </c>
      <c r="I15" s="67"/>
      <c r="J15" s="67"/>
      <c r="K15" s="20"/>
      <c r="L15" s="68">
        <f t="shared" si="1"/>
        <v>0</v>
      </c>
      <c r="M15" s="69"/>
    </row>
    <row r="16" spans="1:13" ht="25.5" customHeight="1" x14ac:dyDescent="0.4">
      <c r="A16" s="49"/>
      <c r="B16" s="70"/>
      <c r="C16" s="59"/>
      <c r="D16" s="60"/>
      <c r="E16" s="60"/>
      <c r="F16" s="65"/>
      <c r="G16" s="66"/>
      <c r="H16" s="20">
        <f t="shared" si="0"/>
        <v>0</v>
      </c>
      <c r="I16" s="67"/>
      <c r="J16" s="67"/>
      <c r="K16" s="20"/>
      <c r="L16" s="68">
        <f t="shared" si="1"/>
        <v>0</v>
      </c>
      <c r="M16" s="69"/>
    </row>
    <row r="17" spans="1:13" ht="25.5" customHeight="1" x14ac:dyDescent="0.4">
      <c r="A17" s="49"/>
      <c r="B17" s="70"/>
      <c r="C17" s="59"/>
      <c r="D17" s="60"/>
      <c r="E17" s="60"/>
      <c r="F17" s="65"/>
      <c r="G17" s="66"/>
      <c r="H17" s="20">
        <f t="shared" si="0"/>
        <v>0</v>
      </c>
      <c r="I17" s="67"/>
      <c r="J17" s="67"/>
      <c r="K17" s="20"/>
      <c r="L17" s="68">
        <f t="shared" si="1"/>
        <v>0</v>
      </c>
      <c r="M17" s="69"/>
    </row>
    <row r="18" spans="1:13" ht="25.5" customHeight="1" x14ac:dyDescent="0.4">
      <c r="A18" s="49"/>
      <c r="B18" s="70"/>
      <c r="C18" s="59"/>
      <c r="D18" s="60"/>
      <c r="E18" s="60"/>
      <c r="F18" s="65"/>
      <c r="G18" s="66"/>
      <c r="H18" s="20">
        <f t="shared" si="0"/>
        <v>0</v>
      </c>
      <c r="I18" s="67"/>
      <c r="J18" s="67"/>
      <c r="K18" s="20"/>
      <c r="L18" s="68">
        <f t="shared" si="1"/>
        <v>0</v>
      </c>
      <c r="M18" s="69"/>
    </row>
    <row r="19" spans="1:13" ht="25.5" customHeight="1" x14ac:dyDescent="0.4">
      <c r="A19" s="50"/>
      <c r="B19" s="70"/>
      <c r="C19" s="59"/>
      <c r="D19" s="60"/>
      <c r="E19" s="60"/>
      <c r="F19" s="65"/>
      <c r="G19" s="66"/>
      <c r="H19" s="20">
        <f t="shared" si="0"/>
        <v>0</v>
      </c>
      <c r="I19" s="67"/>
      <c r="J19" s="67"/>
      <c r="K19" s="20"/>
      <c r="L19" s="68">
        <f t="shared" si="1"/>
        <v>0</v>
      </c>
      <c r="M19" s="69"/>
    </row>
    <row r="20" spans="1:13" ht="25.5" customHeight="1" x14ac:dyDescent="0.4">
      <c r="A20" s="49"/>
      <c r="B20" s="70"/>
      <c r="C20" s="59"/>
      <c r="D20" s="60"/>
      <c r="E20" s="60"/>
      <c r="F20" s="65"/>
      <c r="G20" s="66"/>
      <c r="H20" s="20">
        <f t="shared" si="0"/>
        <v>0</v>
      </c>
      <c r="I20" s="67"/>
      <c r="J20" s="67"/>
      <c r="K20" s="20"/>
      <c r="L20" s="68">
        <f t="shared" si="1"/>
        <v>0</v>
      </c>
      <c r="M20" s="69"/>
    </row>
    <row r="21" spans="1:13" ht="25.5" customHeight="1" x14ac:dyDescent="0.45">
      <c r="A21" s="49"/>
      <c r="B21" s="70"/>
      <c r="C21" s="59"/>
      <c r="D21" s="60"/>
      <c r="E21" s="60"/>
      <c r="F21" s="65"/>
      <c r="G21" s="66"/>
      <c r="H21" s="20">
        <f t="shared" si="0"/>
        <v>0</v>
      </c>
      <c r="I21" s="67"/>
      <c r="J21" s="67"/>
      <c r="K21" s="20"/>
      <c r="L21" s="68">
        <f t="shared" si="1"/>
        <v>0</v>
      </c>
      <c r="M21" s="71"/>
    </row>
    <row r="22" spans="1:13" ht="25.5" customHeight="1" x14ac:dyDescent="0.45">
      <c r="A22" s="49"/>
      <c r="B22" s="70"/>
      <c r="C22" s="59"/>
      <c r="D22" s="60"/>
      <c r="E22" s="60"/>
      <c r="F22" s="65"/>
      <c r="G22" s="66"/>
      <c r="H22" s="20">
        <f t="shared" si="0"/>
        <v>0</v>
      </c>
      <c r="I22" s="67"/>
      <c r="J22" s="67"/>
      <c r="K22" s="20"/>
      <c r="L22" s="68">
        <f t="shared" si="1"/>
        <v>0</v>
      </c>
      <c r="M22" s="71"/>
    </row>
    <row r="23" spans="1:13" ht="25.5" customHeight="1" x14ac:dyDescent="0.4">
      <c r="A23" s="49"/>
      <c r="B23" s="70"/>
      <c r="C23" s="59"/>
      <c r="D23" s="60"/>
      <c r="E23" s="60"/>
      <c r="F23" s="65"/>
      <c r="G23" s="66"/>
      <c r="H23" s="20">
        <f t="shared" si="0"/>
        <v>0</v>
      </c>
      <c r="I23" s="67"/>
      <c r="J23" s="67"/>
      <c r="K23" s="20"/>
      <c r="L23" s="68">
        <f t="shared" si="1"/>
        <v>0</v>
      </c>
      <c r="M23" s="72"/>
    </row>
    <row r="24" spans="1:13" ht="25.5" customHeight="1" x14ac:dyDescent="0.4">
      <c r="A24" s="49"/>
      <c r="B24" s="23"/>
      <c r="C24" s="16"/>
      <c r="D24" s="24"/>
      <c r="E24" s="25"/>
      <c r="F24" s="17"/>
      <c r="G24" s="18"/>
      <c r="H24" s="20">
        <f t="shared" ref="H24:H25" si="2">E24-D24</f>
        <v>0</v>
      </c>
      <c r="I24" s="26"/>
      <c r="J24" s="26"/>
      <c r="K24" s="20"/>
      <c r="L24" s="68">
        <f t="shared" ref="L24" si="3">183*H24</f>
        <v>0</v>
      </c>
      <c r="M24" s="21"/>
    </row>
    <row r="25" spans="1:13" ht="25.5" customHeight="1" thickBot="1" x14ac:dyDescent="0.45">
      <c r="A25" s="50"/>
      <c r="B25" s="15"/>
      <c r="C25" s="16"/>
      <c r="D25" s="24"/>
      <c r="E25" s="25"/>
      <c r="F25" s="17"/>
      <c r="G25" s="18"/>
      <c r="H25" s="20">
        <f t="shared" si="2"/>
        <v>0</v>
      </c>
      <c r="I25" s="26"/>
      <c r="J25" s="26"/>
      <c r="K25" s="20"/>
      <c r="L25" s="38">
        <f t="shared" ref="L25" si="4">176*H25</f>
        <v>0</v>
      </c>
      <c r="M25" s="21"/>
    </row>
    <row r="26" spans="1:13" ht="49" customHeight="1" thickTop="1" thickBot="1" x14ac:dyDescent="0.45">
      <c r="A26" s="51"/>
      <c r="B26" s="27"/>
      <c r="C26" s="28" t="s">
        <v>22</v>
      </c>
      <c r="D26" s="106" t="s">
        <v>23</v>
      </c>
      <c r="E26" s="107"/>
      <c r="F26" s="29"/>
      <c r="G26" s="30"/>
      <c r="H26" s="31">
        <f>SUM(H7:H25)</f>
        <v>0</v>
      </c>
      <c r="I26" s="31"/>
      <c r="J26" s="31"/>
      <c r="K26" s="31"/>
      <c r="L26" s="32">
        <f>SUM(L6:L25)</f>
        <v>0</v>
      </c>
      <c r="M26" s="52"/>
    </row>
    <row r="27" spans="1:13" ht="32.5" customHeight="1" thickTop="1" thickBot="1" x14ac:dyDescent="0.45">
      <c r="A27" s="53"/>
      <c r="B27" s="33"/>
      <c r="C27" s="34"/>
      <c r="D27" s="35"/>
      <c r="E27" s="35"/>
      <c r="F27" s="35"/>
      <c r="G27" s="35"/>
      <c r="H27" s="35"/>
      <c r="I27" s="35"/>
      <c r="J27" s="35"/>
      <c r="K27" s="35"/>
      <c r="L27" s="36" t="s">
        <v>24</v>
      </c>
      <c r="M27" s="54">
        <f>SUM(L6:L25)</f>
        <v>0</v>
      </c>
    </row>
    <row r="28" spans="1:13" s="6" customFormat="1" ht="23.25" customHeight="1" thickTop="1" thickBot="1" x14ac:dyDescent="0.45">
      <c r="A28" s="55" t="s">
        <v>25</v>
      </c>
      <c r="B28" s="56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8"/>
    </row>
  </sheetData>
  <mergeCells count="14">
    <mergeCell ref="J3:J4"/>
    <mergeCell ref="L3:L4"/>
    <mergeCell ref="D5:E5"/>
    <mergeCell ref="D26:E26"/>
    <mergeCell ref="A1:M1"/>
    <mergeCell ref="A2:A4"/>
    <mergeCell ref="B2:B4"/>
    <mergeCell ref="C2:C4"/>
    <mergeCell ref="D2:H2"/>
    <mergeCell ref="I2:J2"/>
    <mergeCell ref="K2:L2"/>
    <mergeCell ref="M2:M4"/>
    <mergeCell ref="F3:G3"/>
    <mergeCell ref="I3:I4"/>
  </mergeCells>
  <phoneticPr fontId="9" type="noConversion"/>
  <pageMargins left="0.7" right="0.7" top="0.75" bottom="0.75" header="0.3" footer="0.3"/>
  <pageSetup paperSize="9"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5C5E-47AF-40C0-B0E9-6F797315C6CA}">
  <sheetPr>
    <pageSetUpPr fitToPage="1"/>
  </sheetPr>
  <dimension ref="A1:M39"/>
  <sheetViews>
    <sheetView zoomScale="40" zoomScaleNormal="40" workbookViewId="0">
      <selection activeCell="M6" sqref="M6"/>
    </sheetView>
  </sheetViews>
  <sheetFormatPr defaultColWidth="9" defaultRowHeight="17" x14ac:dyDescent="0.4"/>
  <cols>
    <col min="1" max="1" width="20.90625" style="3" customWidth="1"/>
    <col min="2" max="2" width="21.90625" style="3" customWidth="1"/>
    <col min="3" max="3" width="23.36328125" style="3" customWidth="1"/>
    <col min="4" max="12" width="15.90625" style="3" customWidth="1"/>
    <col min="13" max="13" width="52.08984375" style="3" customWidth="1"/>
    <col min="14" max="16384" width="9" style="3"/>
  </cols>
  <sheetData>
    <row r="1" spans="1:13" ht="33.75" customHeight="1" x14ac:dyDescent="0.4">
      <c r="A1" s="108" t="str">
        <f>'0'!A1</f>
        <v>育聖文理短期補習班  115年1月份出勤考核總表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10"/>
    </row>
    <row r="2" spans="1:13" ht="23.25" customHeight="1" x14ac:dyDescent="0.4">
      <c r="A2" s="111" t="s">
        <v>0</v>
      </c>
      <c r="B2" s="114" t="s">
        <v>1</v>
      </c>
      <c r="C2" s="117" t="s">
        <v>2</v>
      </c>
      <c r="D2" s="117" t="s">
        <v>3</v>
      </c>
      <c r="E2" s="118"/>
      <c r="F2" s="118"/>
      <c r="G2" s="118"/>
      <c r="H2" s="118"/>
      <c r="I2" s="119" t="s">
        <v>4</v>
      </c>
      <c r="J2" s="120"/>
      <c r="K2" s="117" t="s">
        <v>5</v>
      </c>
      <c r="L2" s="118"/>
      <c r="M2" s="121" t="s">
        <v>6</v>
      </c>
    </row>
    <row r="3" spans="1:13" ht="21" customHeight="1" x14ac:dyDescent="0.4">
      <c r="A3" s="112"/>
      <c r="B3" s="115"/>
      <c r="C3" s="101"/>
      <c r="D3" s="99" t="s">
        <v>7</v>
      </c>
      <c r="E3" s="99" t="s">
        <v>8</v>
      </c>
      <c r="F3" s="100" t="s">
        <v>9</v>
      </c>
      <c r="G3" s="101"/>
      <c r="H3" s="99" t="s">
        <v>10</v>
      </c>
      <c r="I3" s="100" t="s">
        <v>11</v>
      </c>
      <c r="J3" s="100" t="s">
        <v>12</v>
      </c>
      <c r="K3" s="1" t="s">
        <v>13</v>
      </c>
      <c r="L3" s="102" t="s">
        <v>14</v>
      </c>
      <c r="M3" s="122"/>
    </row>
    <row r="4" spans="1:13" ht="27" x14ac:dyDescent="0.4">
      <c r="A4" s="113"/>
      <c r="B4" s="116"/>
      <c r="C4" s="101"/>
      <c r="D4" s="4" t="s">
        <v>15</v>
      </c>
      <c r="E4" s="5" t="s">
        <v>15</v>
      </c>
      <c r="F4" s="2" t="s">
        <v>16</v>
      </c>
      <c r="G4" s="99" t="s">
        <v>17</v>
      </c>
      <c r="H4" s="99" t="s">
        <v>18</v>
      </c>
      <c r="I4" s="101"/>
      <c r="J4" s="101"/>
      <c r="K4" s="1" t="s">
        <v>19</v>
      </c>
      <c r="L4" s="103"/>
      <c r="M4" s="123"/>
    </row>
    <row r="5" spans="1:13" ht="23.5" customHeight="1" x14ac:dyDescent="0.4">
      <c r="A5" s="46" t="s">
        <v>26</v>
      </c>
      <c r="B5" s="7" t="s">
        <v>27</v>
      </c>
      <c r="C5" s="8"/>
      <c r="D5" s="104" t="s">
        <v>20</v>
      </c>
      <c r="E5" s="105"/>
      <c r="F5" s="9"/>
      <c r="G5" s="10"/>
      <c r="H5" s="11"/>
      <c r="I5" s="12"/>
      <c r="J5" s="12"/>
      <c r="K5" s="12"/>
      <c r="L5" s="13"/>
      <c r="M5" s="14" t="s">
        <v>50</v>
      </c>
    </row>
    <row r="6" spans="1:13" ht="25.5" customHeight="1" x14ac:dyDescent="0.4">
      <c r="A6" s="47"/>
      <c r="B6" s="15" t="s">
        <v>28</v>
      </c>
      <c r="C6" s="39" t="s">
        <v>21</v>
      </c>
      <c r="D6" s="40"/>
      <c r="E6" s="40"/>
      <c r="F6" s="41"/>
      <c r="G6" s="42"/>
      <c r="H6" s="43">
        <f t="shared" ref="H6" si="0">E6-D6</f>
        <v>0</v>
      </c>
      <c r="I6" s="44"/>
      <c r="J6" s="44"/>
      <c r="K6" s="43"/>
      <c r="L6" s="125">
        <f>-203</f>
        <v>-203</v>
      </c>
      <c r="M6" s="63" t="s">
        <v>53</v>
      </c>
    </row>
    <row r="7" spans="1:13" ht="25.5" customHeight="1" x14ac:dyDescent="0.45">
      <c r="A7" s="48"/>
      <c r="B7" s="64"/>
      <c r="C7" s="16">
        <v>46028</v>
      </c>
      <c r="D7" s="64">
        <v>15</v>
      </c>
      <c r="E7" s="64">
        <v>21</v>
      </c>
      <c r="F7" s="17"/>
      <c r="G7" s="89"/>
      <c r="H7" s="20">
        <f>E7-D7</f>
        <v>6</v>
      </c>
      <c r="I7" s="90"/>
      <c r="J7" s="90"/>
      <c r="K7" s="20"/>
      <c r="L7" s="74">
        <f>196*H7</f>
        <v>1176</v>
      </c>
      <c r="M7" s="79"/>
    </row>
    <row r="8" spans="1:13" ht="25.5" customHeight="1" x14ac:dyDescent="0.4">
      <c r="A8" s="22"/>
      <c r="B8" s="64"/>
      <c r="C8" s="16">
        <v>46030</v>
      </c>
      <c r="D8" s="64">
        <v>11.5</v>
      </c>
      <c r="E8" s="64">
        <v>19.5</v>
      </c>
      <c r="F8" s="17"/>
      <c r="G8" s="89"/>
      <c r="H8" s="20">
        <f t="shared" ref="H8:H21" si="1">E8-D8</f>
        <v>8</v>
      </c>
      <c r="I8" s="90"/>
      <c r="J8" s="90"/>
      <c r="K8" s="20"/>
      <c r="L8" s="74">
        <f t="shared" ref="L8:L34" si="2">196*H8</f>
        <v>1568</v>
      </c>
      <c r="M8" s="21"/>
    </row>
    <row r="9" spans="1:13" ht="25.5" customHeight="1" x14ac:dyDescent="0.45">
      <c r="A9" s="48"/>
      <c r="B9" s="64"/>
      <c r="C9" s="16"/>
      <c r="D9" s="64">
        <v>19.5</v>
      </c>
      <c r="E9" s="64">
        <v>21.5</v>
      </c>
      <c r="F9" s="17"/>
      <c r="G9" s="89"/>
      <c r="H9" s="20">
        <f t="shared" si="1"/>
        <v>2</v>
      </c>
      <c r="I9" s="90"/>
      <c r="J9" s="90"/>
      <c r="K9" s="20"/>
      <c r="L9" s="74">
        <f>300*H9</f>
        <v>600</v>
      </c>
      <c r="M9" s="80" t="s">
        <v>29</v>
      </c>
    </row>
    <row r="10" spans="1:13" ht="25.5" customHeight="1" x14ac:dyDescent="0.4">
      <c r="A10" s="48"/>
      <c r="B10" s="64"/>
      <c r="C10" s="16">
        <v>46034</v>
      </c>
      <c r="D10" s="64">
        <v>12</v>
      </c>
      <c r="E10" s="64">
        <v>21</v>
      </c>
      <c r="F10" s="17"/>
      <c r="G10" s="89"/>
      <c r="H10" s="20">
        <f t="shared" si="1"/>
        <v>9</v>
      </c>
      <c r="I10" s="90"/>
      <c r="J10" s="90"/>
      <c r="K10" s="20"/>
      <c r="L10" s="74">
        <f t="shared" si="2"/>
        <v>1764</v>
      </c>
      <c r="M10" s="76"/>
    </row>
    <row r="11" spans="1:13" ht="25.5" customHeight="1" x14ac:dyDescent="0.4">
      <c r="A11" s="48"/>
      <c r="B11" s="23"/>
      <c r="C11" s="16">
        <v>46035</v>
      </c>
      <c r="D11" s="64">
        <v>15</v>
      </c>
      <c r="E11" s="64">
        <v>21</v>
      </c>
      <c r="F11" s="17"/>
      <c r="G11" s="89"/>
      <c r="H11" s="20">
        <f t="shared" si="1"/>
        <v>6</v>
      </c>
      <c r="I11" s="74"/>
      <c r="J11" s="74"/>
      <c r="K11" s="20"/>
      <c r="L11" s="74">
        <f t="shared" si="2"/>
        <v>1176</v>
      </c>
      <c r="M11" s="76"/>
    </row>
    <row r="12" spans="1:13" ht="25.5" customHeight="1" x14ac:dyDescent="0.4">
      <c r="A12" s="49"/>
      <c r="B12" s="23"/>
      <c r="C12" s="16">
        <v>46037</v>
      </c>
      <c r="D12" s="64">
        <v>15</v>
      </c>
      <c r="E12" s="64">
        <v>19.5</v>
      </c>
      <c r="F12" s="17"/>
      <c r="G12" s="89"/>
      <c r="H12" s="20">
        <f t="shared" si="1"/>
        <v>4.5</v>
      </c>
      <c r="I12" s="74"/>
      <c r="J12" s="74"/>
      <c r="K12" s="20"/>
      <c r="L12" s="74">
        <f t="shared" si="2"/>
        <v>882</v>
      </c>
      <c r="M12" s="76"/>
    </row>
    <row r="13" spans="1:13" ht="25.5" customHeight="1" x14ac:dyDescent="0.45">
      <c r="A13" s="49"/>
      <c r="B13" s="23"/>
      <c r="C13" s="16"/>
      <c r="D13" s="64">
        <v>19.5</v>
      </c>
      <c r="E13" s="64">
        <v>21</v>
      </c>
      <c r="F13" s="17"/>
      <c r="G13" s="89"/>
      <c r="H13" s="20">
        <f t="shared" si="1"/>
        <v>1.5</v>
      </c>
      <c r="I13" s="74"/>
      <c r="J13" s="74"/>
      <c r="K13" s="20"/>
      <c r="L13" s="74">
        <f>300*H13</f>
        <v>450</v>
      </c>
      <c r="M13" s="80" t="s">
        <v>29</v>
      </c>
    </row>
    <row r="14" spans="1:13" ht="25.5" customHeight="1" x14ac:dyDescent="0.45">
      <c r="A14" s="49"/>
      <c r="B14" s="23"/>
      <c r="C14" s="16">
        <v>46041</v>
      </c>
      <c r="D14" s="64">
        <v>15.5</v>
      </c>
      <c r="E14" s="64">
        <v>21</v>
      </c>
      <c r="F14" s="17"/>
      <c r="G14" s="89"/>
      <c r="H14" s="20">
        <f t="shared" si="1"/>
        <v>5.5</v>
      </c>
      <c r="I14" s="74"/>
      <c r="J14" s="74"/>
      <c r="K14" s="20"/>
      <c r="L14" s="74">
        <f t="shared" si="2"/>
        <v>1078</v>
      </c>
      <c r="M14" s="80"/>
    </row>
    <row r="15" spans="1:13" ht="25.5" customHeight="1" x14ac:dyDescent="0.4">
      <c r="A15" s="49"/>
      <c r="B15" s="23"/>
      <c r="C15" s="16">
        <v>46042</v>
      </c>
      <c r="D15" s="64">
        <v>15</v>
      </c>
      <c r="E15" s="64">
        <v>21</v>
      </c>
      <c r="F15" s="17"/>
      <c r="G15" s="89"/>
      <c r="H15" s="20">
        <f t="shared" si="1"/>
        <v>6</v>
      </c>
      <c r="I15" s="74"/>
      <c r="J15" s="74"/>
      <c r="K15" s="20"/>
      <c r="L15" s="74">
        <f t="shared" si="2"/>
        <v>1176</v>
      </c>
      <c r="M15" s="77"/>
    </row>
    <row r="16" spans="1:13" ht="25.5" customHeight="1" x14ac:dyDescent="0.45">
      <c r="A16" s="49"/>
      <c r="B16" s="23"/>
      <c r="C16" s="16"/>
      <c r="D16" s="64"/>
      <c r="E16" s="64"/>
      <c r="F16" s="17"/>
      <c r="G16" s="89"/>
      <c r="H16" s="20"/>
      <c r="I16" s="74"/>
      <c r="J16" s="74"/>
      <c r="K16" s="20"/>
      <c r="L16" s="74">
        <f t="shared" si="2"/>
        <v>0</v>
      </c>
      <c r="M16" s="80"/>
    </row>
    <row r="17" spans="1:13" ht="25.5" customHeight="1" x14ac:dyDescent="0.4">
      <c r="A17" s="49"/>
      <c r="B17" s="23"/>
      <c r="C17" s="16"/>
      <c r="D17" s="64"/>
      <c r="E17" s="64"/>
      <c r="F17" s="17"/>
      <c r="G17" s="89"/>
      <c r="H17" s="20"/>
      <c r="I17" s="74"/>
      <c r="J17" s="74"/>
      <c r="K17" s="20"/>
      <c r="L17" s="74"/>
      <c r="M17" s="77"/>
    </row>
    <row r="18" spans="1:13" ht="25.5" customHeight="1" x14ac:dyDescent="0.4">
      <c r="A18" s="49"/>
      <c r="B18" s="23"/>
      <c r="C18" s="16"/>
      <c r="D18" s="64"/>
      <c r="E18" s="64"/>
      <c r="F18" s="17"/>
      <c r="G18" s="89"/>
      <c r="H18" s="20"/>
      <c r="I18" s="74"/>
      <c r="J18" s="74"/>
      <c r="K18" s="20"/>
      <c r="L18" s="74"/>
      <c r="M18" s="76"/>
    </row>
    <row r="19" spans="1:13" ht="25.5" customHeight="1" x14ac:dyDescent="0.4">
      <c r="A19" s="49"/>
      <c r="B19" s="23"/>
      <c r="C19" s="16"/>
      <c r="D19" s="64"/>
      <c r="E19" s="64"/>
      <c r="F19" s="17"/>
      <c r="G19" s="89"/>
      <c r="H19" s="20"/>
      <c r="I19" s="74"/>
      <c r="J19" s="74"/>
      <c r="K19" s="20"/>
      <c r="L19" s="74"/>
      <c r="M19" s="77"/>
    </row>
    <row r="20" spans="1:13" ht="25.5" customHeight="1" x14ac:dyDescent="0.45">
      <c r="A20" s="49"/>
      <c r="B20" s="23"/>
      <c r="C20" s="16"/>
      <c r="D20" s="64"/>
      <c r="E20" s="64"/>
      <c r="F20" s="17"/>
      <c r="G20" s="89"/>
      <c r="H20" s="20"/>
      <c r="I20" s="74"/>
      <c r="J20" s="74"/>
      <c r="K20" s="20"/>
      <c r="L20" s="74"/>
      <c r="M20" s="80"/>
    </row>
    <row r="21" spans="1:13" ht="25.5" customHeight="1" x14ac:dyDescent="0.45">
      <c r="A21" s="49"/>
      <c r="B21" s="23"/>
      <c r="C21" s="16"/>
      <c r="D21" s="64"/>
      <c r="E21" s="64"/>
      <c r="F21" s="17"/>
      <c r="G21" s="89"/>
      <c r="H21" s="20"/>
      <c r="I21" s="74"/>
      <c r="J21" s="74"/>
      <c r="K21" s="20"/>
      <c r="L21" s="74"/>
      <c r="M21" s="80"/>
    </row>
    <row r="22" spans="1:13" ht="25.5" customHeight="1" x14ac:dyDescent="0.4">
      <c r="A22" s="49"/>
      <c r="B22" s="23"/>
      <c r="C22" s="16"/>
      <c r="D22" s="64"/>
      <c r="E22" s="64"/>
      <c r="F22" s="17"/>
      <c r="G22" s="89"/>
      <c r="H22" s="20"/>
      <c r="I22" s="19"/>
      <c r="J22" s="19"/>
      <c r="K22" s="20"/>
      <c r="L22" s="74"/>
      <c r="M22" s="77"/>
    </row>
    <row r="23" spans="1:13" ht="25.5" customHeight="1" x14ac:dyDescent="0.4">
      <c r="A23" s="49"/>
      <c r="B23" s="23"/>
      <c r="C23" s="16"/>
      <c r="D23" s="64"/>
      <c r="E23" s="64"/>
      <c r="F23" s="17"/>
      <c r="G23" s="89"/>
      <c r="H23" s="20"/>
      <c r="I23" s="19"/>
      <c r="J23" s="19"/>
      <c r="K23" s="20"/>
      <c r="L23" s="74"/>
      <c r="M23" s="78"/>
    </row>
    <row r="24" spans="1:13" ht="25.5" customHeight="1" x14ac:dyDescent="0.4">
      <c r="A24" s="49"/>
      <c r="B24" s="23"/>
      <c r="C24" s="16"/>
      <c r="D24" s="60"/>
      <c r="E24" s="60"/>
      <c r="F24" s="17"/>
      <c r="G24" s="66"/>
      <c r="H24" s="20"/>
      <c r="I24" s="67"/>
      <c r="J24" s="67"/>
      <c r="K24" s="20"/>
      <c r="L24" s="74"/>
      <c r="M24" s="76"/>
    </row>
    <row r="25" spans="1:13" ht="25.5" customHeight="1" x14ac:dyDescent="0.4">
      <c r="A25" s="49"/>
      <c r="B25" s="23"/>
      <c r="C25" s="59"/>
      <c r="D25" s="60"/>
      <c r="E25" s="60"/>
      <c r="F25" s="17"/>
      <c r="G25" s="66"/>
      <c r="H25" s="20"/>
      <c r="I25" s="67"/>
      <c r="J25" s="67"/>
      <c r="K25" s="20"/>
      <c r="L25" s="74"/>
      <c r="M25" s="76"/>
    </row>
    <row r="26" spans="1:13" ht="25.5" customHeight="1" x14ac:dyDescent="0.4">
      <c r="A26" s="49"/>
      <c r="B26" s="23"/>
      <c r="C26" s="16"/>
      <c r="D26" s="60"/>
      <c r="E26" s="60"/>
      <c r="F26" s="17"/>
      <c r="G26" s="66"/>
      <c r="H26" s="20"/>
      <c r="I26" s="67"/>
      <c r="J26" s="67"/>
      <c r="K26" s="20"/>
      <c r="L26" s="74"/>
      <c r="M26" s="77"/>
    </row>
    <row r="27" spans="1:13" ht="25.5" customHeight="1" x14ac:dyDescent="0.4">
      <c r="A27" s="49"/>
      <c r="B27" s="23"/>
      <c r="C27" s="59"/>
      <c r="D27" s="60"/>
      <c r="E27" s="60"/>
      <c r="F27" s="17"/>
      <c r="G27" s="66"/>
      <c r="H27" s="20"/>
      <c r="I27" s="67"/>
      <c r="J27" s="67"/>
      <c r="K27" s="20"/>
      <c r="L27" s="74"/>
      <c r="M27" s="76"/>
    </row>
    <row r="28" spans="1:13" ht="25.5" customHeight="1" x14ac:dyDescent="0.4">
      <c r="A28" s="49"/>
      <c r="B28" s="23"/>
      <c r="C28" s="16"/>
      <c r="D28" s="60"/>
      <c r="E28" s="60"/>
      <c r="F28" s="17"/>
      <c r="G28" s="66"/>
      <c r="H28" s="20"/>
      <c r="I28" s="67"/>
      <c r="J28" s="67"/>
      <c r="K28" s="20"/>
      <c r="L28" s="74"/>
      <c r="M28" s="76"/>
    </row>
    <row r="29" spans="1:13" ht="25.5" customHeight="1" x14ac:dyDescent="0.4">
      <c r="A29" s="49"/>
      <c r="B29" s="23"/>
      <c r="C29" s="16"/>
      <c r="D29" s="60"/>
      <c r="E29" s="60"/>
      <c r="F29" s="17"/>
      <c r="G29" s="66"/>
      <c r="H29" s="20"/>
      <c r="I29" s="67"/>
      <c r="J29" s="67"/>
      <c r="K29" s="20"/>
      <c r="L29" s="74"/>
      <c r="M29" s="76"/>
    </row>
    <row r="30" spans="1:13" ht="25.5" customHeight="1" x14ac:dyDescent="0.4">
      <c r="A30" s="49"/>
      <c r="B30" s="23"/>
      <c r="C30" s="16"/>
      <c r="D30" s="60"/>
      <c r="E30" s="60"/>
      <c r="F30" s="17"/>
      <c r="G30" s="18"/>
      <c r="H30" s="20"/>
      <c r="I30" s="19"/>
      <c r="J30" s="19"/>
      <c r="K30" s="20"/>
      <c r="L30" s="74"/>
      <c r="M30" s="21"/>
    </row>
    <row r="31" spans="1:13" ht="25.5" customHeight="1" x14ac:dyDescent="0.4">
      <c r="A31" s="49"/>
      <c r="B31" s="23"/>
      <c r="C31" s="16"/>
      <c r="D31" s="60"/>
      <c r="E31" s="60"/>
      <c r="F31" s="17"/>
      <c r="G31" s="18"/>
      <c r="H31" s="20"/>
      <c r="I31" s="19"/>
      <c r="J31" s="19"/>
      <c r="K31" s="20"/>
      <c r="L31" s="74"/>
      <c r="M31" s="21"/>
    </row>
    <row r="32" spans="1:13" ht="25.5" customHeight="1" x14ac:dyDescent="0.4">
      <c r="A32" s="49"/>
      <c r="B32" s="23"/>
      <c r="C32" s="16"/>
      <c r="D32" s="60"/>
      <c r="E32" s="60"/>
      <c r="F32" s="17"/>
      <c r="G32" s="18"/>
      <c r="H32" s="20"/>
      <c r="I32" s="19"/>
      <c r="J32" s="19"/>
      <c r="K32" s="20"/>
      <c r="L32" s="74"/>
      <c r="M32" s="21"/>
    </row>
    <row r="33" spans="1:13" ht="25.5" customHeight="1" x14ac:dyDescent="0.4">
      <c r="A33" s="49"/>
      <c r="B33" s="23"/>
      <c r="C33" s="16"/>
      <c r="D33" s="60"/>
      <c r="E33" s="60"/>
      <c r="F33" s="17"/>
      <c r="G33" s="18"/>
      <c r="H33" s="20"/>
      <c r="I33" s="19"/>
      <c r="J33" s="19"/>
      <c r="K33" s="20"/>
      <c r="L33" s="74"/>
      <c r="M33" s="82"/>
    </row>
    <row r="34" spans="1:13" ht="25.5" customHeight="1" x14ac:dyDescent="0.4">
      <c r="A34" s="49"/>
      <c r="B34" s="23"/>
      <c r="C34" s="16"/>
      <c r="D34" s="60"/>
      <c r="E34" s="62"/>
      <c r="F34" s="17"/>
      <c r="G34" s="18"/>
      <c r="H34" s="20"/>
      <c r="I34" s="19"/>
      <c r="J34" s="19"/>
      <c r="K34" s="20"/>
      <c r="L34" s="74"/>
      <c r="M34" s="21"/>
    </row>
    <row r="35" spans="1:13" ht="25.5" customHeight="1" x14ac:dyDescent="0.4">
      <c r="A35" s="49"/>
      <c r="B35" s="23"/>
      <c r="C35" s="16"/>
      <c r="D35" s="60"/>
      <c r="E35" s="62"/>
      <c r="F35" s="17"/>
      <c r="G35" s="18"/>
      <c r="H35" s="20"/>
      <c r="I35" s="19"/>
      <c r="J35" s="19"/>
      <c r="K35" s="20"/>
      <c r="L35" s="38"/>
      <c r="M35" s="21"/>
    </row>
    <row r="36" spans="1:13" ht="25.5" customHeight="1" thickBot="1" x14ac:dyDescent="0.45">
      <c r="A36" s="50"/>
      <c r="B36" s="15"/>
      <c r="C36" s="16"/>
      <c r="D36" s="60"/>
      <c r="E36" s="62"/>
      <c r="F36" s="17"/>
      <c r="G36" s="18"/>
      <c r="H36" s="20"/>
      <c r="I36" s="19"/>
      <c r="J36" s="19"/>
      <c r="K36" s="20"/>
      <c r="L36" s="38"/>
      <c r="M36" s="21"/>
    </row>
    <row r="37" spans="1:13" ht="49" customHeight="1" thickTop="1" thickBot="1" x14ac:dyDescent="0.45">
      <c r="A37" s="51"/>
      <c r="B37" s="27"/>
      <c r="C37" s="28" t="s">
        <v>22</v>
      </c>
      <c r="D37" s="106" t="s">
        <v>23</v>
      </c>
      <c r="E37" s="124"/>
      <c r="F37" s="29"/>
      <c r="G37" s="30"/>
      <c r="H37" s="31">
        <f>SUM(H7:H36)</f>
        <v>48.5</v>
      </c>
      <c r="I37" s="31"/>
      <c r="J37" s="31"/>
      <c r="K37" s="31"/>
      <c r="L37" s="86">
        <f>SUM(L7:L36)</f>
        <v>9870</v>
      </c>
      <c r="M37" s="87" t="s">
        <v>54</v>
      </c>
    </row>
    <row r="38" spans="1:13" ht="32.5" customHeight="1" thickTop="1" thickBot="1" x14ac:dyDescent="0.45">
      <c r="A38" s="53"/>
      <c r="B38" s="33"/>
      <c r="C38" s="34"/>
      <c r="D38" s="35"/>
      <c r="E38" s="35"/>
      <c r="F38" s="35"/>
      <c r="G38" s="35"/>
      <c r="H38" s="35"/>
      <c r="I38" s="35"/>
      <c r="J38" s="35"/>
      <c r="K38" s="35"/>
      <c r="L38" s="88" t="s">
        <v>24</v>
      </c>
      <c r="M38" s="85">
        <f>SUM(L6:L36)</f>
        <v>9667</v>
      </c>
    </row>
    <row r="39" spans="1:13" s="6" customFormat="1" ht="23.25" customHeight="1" thickTop="1" thickBot="1" x14ac:dyDescent="0.45">
      <c r="A39" s="55" t="s">
        <v>25</v>
      </c>
      <c r="B39" s="56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8"/>
    </row>
  </sheetData>
  <mergeCells count="14">
    <mergeCell ref="J3:J4"/>
    <mergeCell ref="L3:L4"/>
    <mergeCell ref="D5:E5"/>
    <mergeCell ref="D37:E37"/>
    <mergeCell ref="A1:M1"/>
    <mergeCell ref="A2:A4"/>
    <mergeCell ref="B2:B4"/>
    <mergeCell ref="C2:C4"/>
    <mergeCell ref="D2:H2"/>
    <mergeCell ref="I2:J2"/>
    <mergeCell ref="K2:L2"/>
    <mergeCell ref="M2:M4"/>
    <mergeCell ref="F3:G3"/>
    <mergeCell ref="I3:I4"/>
  </mergeCells>
  <phoneticPr fontId="9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34300-4196-4534-819A-C9AC43C4DED9}">
  <sheetPr>
    <pageSetUpPr fitToPage="1"/>
  </sheetPr>
  <dimension ref="A1:M39"/>
  <sheetViews>
    <sheetView topLeftCell="A4" zoomScale="40" zoomScaleNormal="40" workbookViewId="0">
      <selection activeCell="M6" sqref="M6"/>
    </sheetView>
  </sheetViews>
  <sheetFormatPr defaultColWidth="9" defaultRowHeight="17" x14ac:dyDescent="0.4"/>
  <cols>
    <col min="1" max="1" width="20.90625" style="3" customWidth="1"/>
    <col min="2" max="2" width="21.90625" style="3" customWidth="1"/>
    <col min="3" max="3" width="23.36328125" style="3" customWidth="1"/>
    <col min="4" max="12" width="15.90625" style="3" customWidth="1"/>
    <col min="13" max="13" width="52.08984375" style="3" customWidth="1"/>
    <col min="14" max="16384" width="9" style="3"/>
  </cols>
  <sheetData>
    <row r="1" spans="1:13" ht="33.75" customHeight="1" x14ac:dyDescent="0.4">
      <c r="A1" s="108" t="str">
        <f>'0'!A1:M1</f>
        <v>育聖文理短期補習班  115年1月份出勤考核總表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10"/>
    </row>
    <row r="2" spans="1:13" ht="23.25" customHeight="1" x14ac:dyDescent="0.4">
      <c r="A2" s="111" t="s">
        <v>0</v>
      </c>
      <c r="B2" s="114" t="s">
        <v>1</v>
      </c>
      <c r="C2" s="117" t="s">
        <v>2</v>
      </c>
      <c r="D2" s="117" t="s">
        <v>3</v>
      </c>
      <c r="E2" s="118"/>
      <c r="F2" s="118"/>
      <c r="G2" s="118"/>
      <c r="H2" s="118"/>
      <c r="I2" s="119" t="s">
        <v>4</v>
      </c>
      <c r="J2" s="120"/>
      <c r="K2" s="117" t="s">
        <v>5</v>
      </c>
      <c r="L2" s="118"/>
      <c r="M2" s="121" t="s">
        <v>30</v>
      </c>
    </row>
    <row r="3" spans="1:13" ht="21" customHeight="1" x14ac:dyDescent="0.4">
      <c r="A3" s="112"/>
      <c r="B3" s="115"/>
      <c r="C3" s="101"/>
      <c r="D3" s="99" t="s">
        <v>7</v>
      </c>
      <c r="E3" s="99" t="s">
        <v>8</v>
      </c>
      <c r="F3" s="100" t="s">
        <v>9</v>
      </c>
      <c r="G3" s="101"/>
      <c r="H3" s="99" t="s">
        <v>10</v>
      </c>
      <c r="I3" s="100" t="s">
        <v>11</v>
      </c>
      <c r="J3" s="100" t="s">
        <v>12</v>
      </c>
      <c r="K3" s="1" t="s">
        <v>13</v>
      </c>
      <c r="L3" s="102" t="s">
        <v>14</v>
      </c>
      <c r="M3" s="122"/>
    </row>
    <row r="4" spans="1:13" ht="27" x14ac:dyDescent="0.4">
      <c r="A4" s="113"/>
      <c r="B4" s="116"/>
      <c r="C4" s="101"/>
      <c r="D4" s="4" t="s">
        <v>15</v>
      </c>
      <c r="E4" s="5" t="s">
        <v>15</v>
      </c>
      <c r="F4" s="2" t="s">
        <v>16</v>
      </c>
      <c r="G4" s="99" t="s">
        <v>31</v>
      </c>
      <c r="H4" s="99" t="s">
        <v>18</v>
      </c>
      <c r="I4" s="101"/>
      <c r="J4" s="101"/>
      <c r="K4" s="1" t="s">
        <v>19</v>
      </c>
      <c r="L4" s="103"/>
      <c r="M4" s="123"/>
    </row>
    <row r="5" spans="1:13" ht="23.5" customHeight="1" x14ac:dyDescent="0.4">
      <c r="A5" s="46" t="s">
        <v>32</v>
      </c>
      <c r="B5" s="7" t="s">
        <v>33</v>
      </c>
      <c r="C5" s="8"/>
      <c r="D5" s="104" t="s">
        <v>34</v>
      </c>
      <c r="E5" s="105"/>
      <c r="F5" s="9"/>
      <c r="G5" s="10"/>
      <c r="H5" s="11"/>
      <c r="I5" s="12"/>
      <c r="J5" s="12"/>
      <c r="K5" s="12"/>
      <c r="L5" s="13"/>
      <c r="M5" s="14" t="s">
        <v>50</v>
      </c>
    </row>
    <row r="6" spans="1:13" ht="25.5" customHeight="1" x14ac:dyDescent="0.4">
      <c r="A6" s="47"/>
      <c r="B6" s="15" t="s">
        <v>35</v>
      </c>
      <c r="C6" s="39" t="s">
        <v>21</v>
      </c>
      <c r="D6" s="40"/>
      <c r="E6" s="40"/>
      <c r="F6" s="41"/>
      <c r="G6" s="42"/>
      <c r="H6" s="43">
        <f t="shared" ref="H6" si="0">E6-D6</f>
        <v>0</v>
      </c>
      <c r="I6" s="44"/>
      <c r="J6" s="44"/>
      <c r="K6" s="43"/>
      <c r="L6" s="45">
        <f>-277</f>
        <v>-277</v>
      </c>
      <c r="M6" s="63" t="s">
        <v>36</v>
      </c>
    </row>
    <row r="7" spans="1:13" ht="25.5" customHeight="1" x14ac:dyDescent="0.45">
      <c r="A7" s="48"/>
      <c r="B7" s="64"/>
      <c r="C7" s="16" t="s">
        <v>57</v>
      </c>
      <c r="D7" s="60">
        <v>18.5</v>
      </c>
      <c r="E7" s="60">
        <v>21.5</v>
      </c>
      <c r="F7" s="17"/>
      <c r="G7" s="61"/>
      <c r="H7" s="20">
        <f>E7-D7</f>
        <v>3</v>
      </c>
      <c r="I7" s="19"/>
      <c r="J7" s="19"/>
      <c r="K7" s="20"/>
      <c r="L7" s="74">
        <f>196*H7</f>
        <v>588</v>
      </c>
      <c r="M7" s="79"/>
    </row>
    <row r="8" spans="1:13" ht="25.5" customHeight="1" x14ac:dyDescent="0.4">
      <c r="A8" s="22"/>
      <c r="B8" s="64"/>
      <c r="C8" s="16" t="s">
        <v>58</v>
      </c>
      <c r="D8" s="60">
        <v>9</v>
      </c>
      <c r="E8" s="60">
        <v>16</v>
      </c>
      <c r="F8" s="17"/>
      <c r="G8" s="61"/>
      <c r="H8" s="20">
        <f t="shared" ref="H8:H30" si="1">E8-D8</f>
        <v>7</v>
      </c>
      <c r="I8" s="19"/>
      <c r="J8" s="19"/>
      <c r="K8" s="20"/>
      <c r="L8" s="74">
        <f t="shared" ref="L8:L30" si="2">196*H8</f>
        <v>1372</v>
      </c>
      <c r="M8" s="21"/>
    </row>
    <row r="9" spans="1:13" ht="25.5" customHeight="1" x14ac:dyDescent="0.4">
      <c r="A9" s="48"/>
      <c r="B9" s="64"/>
      <c r="C9" s="16" t="s">
        <v>59</v>
      </c>
      <c r="D9" s="60">
        <v>17</v>
      </c>
      <c r="E9" s="60">
        <v>21</v>
      </c>
      <c r="F9" s="17"/>
      <c r="G9" s="18"/>
      <c r="H9" s="20">
        <f t="shared" si="1"/>
        <v>4</v>
      </c>
      <c r="I9" s="19"/>
      <c r="J9" s="19"/>
      <c r="K9" s="20"/>
      <c r="L9" s="74">
        <f t="shared" si="2"/>
        <v>784</v>
      </c>
      <c r="M9" s="37"/>
    </row>
    <row r="10" spans="1:13" ht="25.5" customHeight="1" x14ac:dyDescent="0.4">
      <c r="A10" s="48"/>
      <c r="B10" s="64"/>
      <c r="C10" s="16" t="s">
        <v>61</v>
      </c>
      <c r="D10" s="60">
        <v>11.5</v>
      </c>
      <c r="E10" s="60">
        <v>13</v>
      </c>
      <c r="F10" s="17"/>
      <c r="G10" s="18"/>
      <c r="H10" s="20">
        <f t="shared" si="1"/>
        <v>1.5</v>
      </c>
      <c r="I10" s="19"/>
      <c r="J10" s="19"/>
      <c r="K10" s="20"/>
      <c r="L10" s="74">
        <f t="shared" si="2"/>
        <v>294</v>
      </c>
      <c r="M10" s="37"/>
    </row>
    <row r="11" spans="1:13" ht="25.5" customHeight="1" x14ac:dyDescent="0.4">
      <c r="A11" s="48"/>
      <c r="B11" s="23"/>
      <c r="C11" s="16"/>
      <c r="D11" s="60">
        <v>18</v>
      </c>
      <c r="E11" s="60">
        <v>21</v>
      </c>
      <c r="F11" s="17"/>
      <c r="G11" s="66"/>
      <c r="H11" s="20">
        <f t="shared" si="1"/>
        <v>3</v>
      </c>
      <c r="I11" s="67"/>
      <c r="J11" s="67"/>
      <c r="K11" s="20"/>
      <c r="L11" s="74">
        <f t="shared" si="2"/>
        <v>588</v>
      </c>
      <c r="M11" s="76"/>
    </row>
    <row r="12" spans="1:13" ht="25.5" customHeight="1" x14ac:dyDescent="0.4">
      <c r="A12" s="49"/>
      <c r="B12" s="23"/>
      <c r="C12" s="16" t="s">
        <v>62</v>
      </c>
      <c r="D12" s="60">
        <v>9</v>
      </c>
      <c r="E12" s="60">
        <v>16</v>
      </c>
      <c r="F12" s="17"/>
      <c r="G12" s="66"/>
      <c r="H12" s="20">
        <f t="shared" si="1"/>
        <v>7</v>
      </c>
      <c r="I12" s="67"/>
      <c r="J12" s="67"/>
      <c r="K12" s="20"/>
      <c r="L12" s="74">
        <f t="shared" si="2"/>
        <v>1372</v>
      </c>
      <c r="M12" s="76"/>
    </row>
    <row r="13" spans="1:13" ht="25.5" customHeight="1" x14ac:dyDescent="0.4">
      <c r="A13" s="49"/>
      <c r="B13" s="23"/>
      <c r="C13" s="16" t="s">
        <v>63</v>
      </c>
      <c r="D13" s="60">
        <v>17</v>
      </c>
      <c r="E13" s="60">
        <v>21</v>
      </c>
      <c r="F13" s="17"/>
      <c r="G13" s="66"/>
      <c r="H13" s="20">
        <f t="shared" si="1"/>
        <v>4</v>
      </c>
      <c r="I13" s="67"/>
      <c r="J13" s="67"/>
      <c r="K13" s="20"/>
      <c r="L13" s="74">
        <f t="shared" si="2"/>
        <v>784</v>
      </c>
      <c r="M13" s="76"/>
    </row>
    <row r="14" spans="1:13" ht="25.5" customHeight="1" x14ac:dyDescent="0.4">
      <c r="A14" s="49"/>
      <c r="B14" s="23"/>
      <c r="C14" s="16" t="s">
        <v>64</v>
      </c>
      <c r="D14" s="60">
        <v>17</v>
      </c>
      <c r="E14" s="60">
        <v>21</v>
      </c>
      <c r="F14" s="17"/>
      <c r="G14" s="66"/>
      <c r="H14" s="20">
        <f t="shared" si="1"/>
        <v>4</v>
      </c>
      <c r="I14" s="67"/>
      <c r="J14" s="67"/>
      <c r="K14" s="20"/>
      <c r="L14" s="74">
        <f t="shared" si="2"/>
        <v>784</v>
      </c>
      <c r="M14" s="37"/>
    </row>
    <row r="15" spans="1:13" ht="25.5" customHeight="1" x14ac:dyDescent="0.4">
      <c r="A15" s="49"/>
      <c r="B15" s="23"/>
      <c r="C15" s="16" t="s">
        <v>65</v>
      </c>
      <c r="D15" s="60">
        <v>11.5</v>
      </c>
      <c r="E15" s="60">
        <v>13.5</v>
      </c>
      <c r="F15" s="17"/>
      <c r="G15" s="66"/>
      <c r="H15" s="20">
        <f t="shared" si="1"/>
        <v>2</v>
      </c>
      <c r="I15" s="67"/>
      <c r="J15" s="67"/>
      <c r="K15" s="20"/>
      <c r="L15" s="74">
        <f t="shared" si="2"/>
        <v>392</v>
      </c>
      <c r="M15" s="76"/>
    </row>
    <row r="16" spans="1:13" ht="25.5" customHeight="1" x14ac:dyDescent="0.4">
      <c r="A16" s="49"/>
      <c r="B16" s="23"/>
      <c r="C16" s="16"/>
      <c r="D16" s="60">
        <v>18</v>
      </c>
      <c r="E16" s="60">
        <v>21</v>
      </c>
      <c r="F16" s="17"/>
      <c r="G16" s="66"/>
      <c r="H16" s="20">
        <f t="shared" si="1"/>
        <v>3</v>
      </c>
      <c r="I16" s="67"/>
      <c r="J16" s="67"/>
      <c r="K16" s="20"/>
      <c r="L16" s="74">
        <f t="shared" si="2"/>
        <v>588</v>
      </c>
      <c r="M16" s="76"/>
    </row>
    <row r="17" spans="1:13" ht="25.5" customHeight="1" x14ac:dyDescent="0.4">
      <c r="A17" s="49"/>
      <c r="B17" s="23"/>
      <c r="C17" s="16" t="s">
        <v>66</v>
      </c>
      <c r="D17" s="60">
        <v>17</v>
      </c>
      <c r="E17" s="60">
        <v>21</v>
      </c>
      <c r="F17" s="17"/>
      <c r="G17" s="66"/>
      <c r="H17" s="20">
        <f t="shared" si="1"/>
        <v>4</v>
      </c>
      <c r="I17" s="67"/>
      <c r="J17" s="67"/>
      <c r="K17" s="20"/>
      <c r="L17" s="74">
        <f t="shared" si="2"/>
        <v>784</v>
      </c>
      <c r="M17" s="76"/>
    </row>
    <row r="18" spans="1:13" ht="25.5" customHeight="1" x14ac:dyDescent="0.4">
      <c r="A18" s="49"/>
      <c r="B18" s="23"/>
      <c r="C18" s="16" t="s">
        <v>67</v>
      </c>
      <c r="D18" s="60">
        <v>9</v>
      </c>
      <c r="E18" s="60">
        <v>16</v>
      </c>
      <c r="F18" s="17"/>
      <c r="G18" s="66"/>
      <c r="H18" s="20">
        <f t="shared" si="1"/>
        <v>7</v>
      </c>
      <c r="I18" s="67"/>
      <c r="J18" s="67"/>
      <c r="K18" s="20"/>
      <c r="L18" s="74">
        <f t="shared" si="2"/>
        <v>1372</v>
      </c>
      <c r="M18" s="37"/>
    </row>
    <row r="19" spans="1:13" ht="25.5" customHeight="1" x14ac:dyDescent="0.4">
      <c r="A19" s="49"/>
      <c r="B19" s="23"/>
      <c r="C19" s="16" t="s">
        <v>68</v>
      </c>
      <c r="D19" s="60">
        <v>17</v>
      </c>
      <c r="E19" s="60">
        <v>21</v>
      </c>
      <c r="F19" s="17"/>
      <c r="G19" s="66"/>
      <c r="H19" s="20">
        <f t="shared" si="1"/>
        <v>4</v>
      </c>
      <c r="I19" s="67"/>
      <c r="J19" s="67"/>
      <c r="K19" s="20"/>
      <c r="L19" s="74">
        <f t="shared" si="2"/>
        <v>784</v>
      </c>
      <c r="M19" s="76"/>
    </row>
    <row r="20" spans="1:13" ht="25.5" customHeight="1" x14ac:dyDescent="0.45">
      <c r="A20" s="49"/>
      <c r="B20" s="23"/>
      <c r="C20" s="16" t="s">
        <v>69</v>
      </c>
      <c r="D20" s="60">
        <v>17</v>
      </c>
      <c r="E20" s="60">
        <v>21</v>
      </c>
      <c r="F20" s="17"/>
      <c r="G20" s="66"/>
      <c r="H20" s="20">
        <f t="shared" si="1"/>
        <v>4</v>
      </c>
      <c r="I20" s="67"/>
      <c r="J20" s="67"/>
      <c r="K20" s="20"/>
      <c r="L20" s="74">
        <f t="shared" si="2"/>
        <v>784</v>
      </c>
      <c r="M20" s="80"/>
    </row>
    <row r="21" spans="1:13" ht="25.5" customHeight="1" x14ac:dyDescent="0.45">
      <c r="A21" s="49"/>
      <c r="B21" s="23"/>
      <c r="C21" s="16" t="s">
        <v>70</v>
      </c>
      <c r="D21" s="60">
        <v>11.5</v>
      </c>
      <c r="E21" s="60">
        <v>13.5</v>
      </c>
      <c r="F21" s="17"/>
      <c r="G21" s="66"/>
      <c r="H21" s="20">
        <f t="shared" si="1"/>
        <v>2</v>
      </c>
      <c r="I21" s="67"/>
      <c r="J21" s="67"/>
      <c r="K21" s="20"/>
      <c r="L21" s="74">
        <f t="shared" si="2"/>
        <v>392</v>
      </c>
      <c r="M21" s="80"/>
    </row>
    <row r="22" spans="1:13" ht="25.5" customHeight="1" x14ac:dyDescent="0.4">
      <c r="A22" s="49"/>
      <c r="B22" s="23"/>
      <c r="C22" s="16"/>
      <c r="D22" s="60">
        <v>18</v>
      </c>
      <c r="E22" s="60">
        <v>21</v>
      </c>
      <c r="F22" s="17"/>
      <c r="G22" s="61"/>
      <c r="H22" s="20">
        <f t="shared" si="1"/>
        <v>3</v>
      </c>
      <c r="I22" s="19"/>
      <c r="J22" s="19"/>
      <c r="K22" s="20"/>
      <c r="L22" s="74">
        <f t="shared" si="2"/>
        <v>588</v>
      </c>
      <c r="M22" s="37"/>
    </row>
    <row r="23" spans="1:13" ht="25.5" customHeight="1" x14ac:dyDescent="0.4">
      <c r="A23" s="49"/>
      <c r="B23" s="23"/>
      <c r="C23" s="16" t="s">
        <v>71</v>
      </c>
      <c r="D23" s="60">
        <v>17</v>
      </c>
      <c r="E23" s="60">
        <v>21</v>
      </c>
      <c r="F23" s="17"/>
      <c r="G23" s="61"/>
      <c r="H23" s="20">
        <f t="shared" si="1"/>
        <v>4</v>
      </c>
      <c r="I23" s="19"/>
      <c r="J23" s="19"/>
      <c r="K23" s="20"/>
      <c r="L23" s="74">
        <f t="shared" si="2"/>
        <v>784</v>
      </c>
      <c r="M23" s="78"/>
    </row>
    <row r="24" spans="1:13" ht="25.5" customHeight="1" x14ac:dyDescent="0.4">
      <c r="A24" s="49"/>
      <c r="B24" s="23"/>
      <c r="C24" s="16" t="s">
        <v>72</v>
      </c>
      <c r="D24" s="60">
        <v>8.5</v>
      </c>
      <c r="E24" s="60">
        <v>16</v>
      </c>
      <c r="F24" s="17"/>
      <c r="G24" s="66"/>
      <c r="H24" s="20">
        <f t="shared" si="1"/>
        <v>7.5</v>
      </c>
      <c r="I24" s="67"/>
      <c r="J24" s="67"/>
      <c r="K24" s="20"/>
      <c r="L24" s="74">
        <f>196*H24</f>
        <v>1470</v>
      </c>
      <c r="M24" s="76"/>
    </row>
    <row r="25" spans="1:13" ht="25.5" customHeight="1" x14ac:dyDescent="0.4">
      <c r="A25" s="49"/>
      <c r="B25" s="23"/>
      <c r="C25" s="16" t="s">
        <v>73</v>
      </c>
      <c r="D25" s="60">
        <v>17</v>
      </c>
      <c r="E25" s="60">
        <v>21</v>
      </c>
      <c r="F25" s="17"/>
      <c r="G25" s="66"/>
      <c r="H25" s="20">
        <f t="shared" si="1"/>
        <v>4</v>
      </c>
      <c r="I25" s="67"/>
      <c r="J25" s="67"/>
      <c r="K25" s="20"/>
      <c r="L25" s="74">
        <f t="shared" si="2"/>
        <v>784</v>
      </c>
      <c r="M25" s="76"/>
    </row>
    <row r="26" spans="1:13" ht="25.5" customHeight="1" x14ac:dyDescent="0.4">
      <c r="A26" s="49"/>
      <c r="B26" s="23"/>
      <c r="C26" s="16" t="s">
        <v>74</v>
      </c>
      <c r="D26" s="60">
        <v>17</v>
      </c>
      <c r="E26" s="60">
        <v>21</v>
      </c>
      <c r="F26" s="17"/>
      <c r="G26" s="66"/>
      <c r="H26" s="20">
        <f t="shared" si="1"/>
        <v>4</v>
      </c>
      <c r="I26" s="67"/>
      <c r="J26" s="67"/>
      <c r="K26" s="20"/>
      <c r="L26" s="74">
        <f t="shared" si="2"/>
        <v>784</v>
      </c>
      <c r="M26" s="77"/>
    </row>
    <row r="27" spans="1:13" ht="25.5" customHeight="1" x14ac:dyDescent="0.4">
      <c r="A27" s="49"/>
      <c r="B27" s="23"/>
      <c r="C27" s="16" t="s">
        <v>75</v>
      </c>
      <c r="D27" s="60">
        <v>12</v>
      </c>
      <c r="E27" s="60">
        <v>13</v>
      </c>
      <c r="F27" s="17"/>
      <c r="G27" s="66"/>
      <c r="H27" s="20">
        <f t="shared" si="1"/>
        <v>1</v>
      </c>
      <c r="I27" s="67"/>
      <c r="J27" s="67"/>
      <c r="K27" s="20"/>
      <c r="L27" s="74">
        <f t="shared" si="2"/>
        <v>196</v>
      </c>
      <c r="M27" s="76"/>
    </row>
    <row r="28" spans="1:13" ht="25.5" customHeight="1" x14ac:dyDescent="0.4">
      <c r="A28" s="49"/>
      <c r="B28" s="23"/>
      <c r="C28" s="16"/>
      <c r="D28" s="60">
        <v>18</v>
      </c>
      <c r="E28" s="60">
        <v>21</v>
      </c>
      <c r="F28" s="17"/>
      <c r="G28" s="66"/>
      <c r="H28" s="20">
        <f t="shared" si="1"/>
        <v>3</v>
      </c>
      <c r="I28" s="67"/>
      <c r="J28" s="67"/>
      <c r="K28" s="20"/>
      <c r="L28" s="74">
        <f t="shared" si="2"/>
        <v>588</v>
      </c>
      <c r="M28" s="76"/>
    </row>
    <row r="29" spans="1:13" ht="25.5" customHeight="1" x14ac:dyDescent="0.4">
      <c r="A29" s="49"/>
      <c r="B29" s="23"/>
      <c r="C29" s="16" t="s">
        <v>77</v>
      </c>
      <c r="D29" s="60">
        <v>19</v>
      </c>
      <c r="E29" s="60">
        <v>21.5</v>
      </c>
      <c r="F29" s="17"/>
      <c r="G29" s="66"/>
      <c r="H29" s="20">
        <f t="shared" si="1"/>
        <v>2.5</v>
      </c>
      <c r="I29" s="67"/>
      <c r="J29" s="67"/>
      <c r="K29" s="20"/>
      <c r="L29" s="74">
        <f t="shared" si="2"/>
        <v>490</v>
      </c>
      <c r="M29" s="76"/>
    </row>
    <row r="30" spans="1:13" ht="25.5" customHeight="1" x14ac:dyDescent="0.4">
      <c r="A30" s="49"/>
      <c r="B30" s="23"/>
      <c r="C30" s="16" t="s">
        <v>78</v>
      </c>
      <c r="D30" s="60">
        <v>9.5</v>
      </c>
      <c r="E30" s="60">
        <v>16</v>
      </c>
      <c r="F30" s="17"/>
      <c r="G30" s="18"/>
      <c r="H30" s="20">
        <f t="shared" si="1"/>
        <v>6.5</v>
      </c>
      <c r="I30" s="19"/>
      <c r="J30" s="19"/>
      <c r="K30" s="20"/>
      <c r="L30" s="74">
        <f t="shared" si="2"/>
        <v>1274</v>
      </c>
      <c r="M30" s="21"/>
    </row>
    <row r="31" spans="1:13" ht="25.5" customHeight="1" x14ac:dyDescent="0.4">
      <c r="A31" s="49"/>
      <c r="B31" s="23"/>
      <c r="C31" s="16"/>
      <c r="D31" s="60"/>
      <c r="E31" s="60"/>
      <c r="F31" s="17"/>
      <c r="G31" s="18"/>
      <c r="H31" s="20"/>
      <c r="I31" s="19"/>
      <c r="J31" s="19"/>
      <c r="K31" s="20"/>
      <c r="L31" s="38"/>
      <c r="M31" s="21"/>
    </row>
    <row r="32" spans="1:13" ht="25.5" customHeight="1" x14ac:dyDescent="0.4">
      <c r="A32" s="49"/>
      <c r="B32" s="23"/>
      <c r="C32" s="16"/>
      <c r="D32" s="60"/>
      <c r="E32" s="60"/>
      <c r="F32" s="17"/>
      <c r="G32" s="18"/>
      <c r="H32" s="20"/>
      <c r="I32" s="19"/>
      <c r="J32" s="19"/>
      <c r="K32" s="20"/>
      <c r="L32" s="38"/>
      <c r="M32" s="21"/>
    </row>
    <row r="33" spans="1:13" ht="25.5" customHeight="1" x14ac:dyDescent="0.4">
      <c r="A33" s="49"/>
      <c r="B33" s="23"/>
      <c r="C33" s="16"/>
      <c r="D33" s="60"/>
      <c r="E33" s="60"/>
      <c r="F33" s="17"/>
      <c r="G33" s="18"/>
      <c r="H33" s="20"/>
      <c r="I33" s="19"/>
      <c r="J33" s="19"/>
      <c r="K33" s="20"/>
      <c r="L33" s="38"/>
      <c r="M33" s="21"/>
    </row>
    <row r="34" spans="1:13" ht="25.5" customHeight="1" x14ac:dyDescent="0.4">
      <c r="A34" s="49"/>
      <c r="B34" s="23"/>
      <c r="C34" s="16"/>
      <c r="D34" s="60"/>
      <c r="E34" s="62"/>
      <c r="F34" s="17"/>
      <c r="G34" s="18"/>
      <c r="H34" s="20"/>
      <c r="I34" s="19"/>
      <c r="J34" s="19"/>
      <c r="K34" s="20"/>
      <c r="L34" s="45">
        <v>1200</v>
      </c>
      <c r="M34" s="92" t="s">
        <v>37</v>
      </c>
    </row>
    <row r="35" spans="1:13" ht="25.5" customHeight="1" x14ac:dyDescent="0.4">
      <c r="A35" s="49"/>
      <c r="B35" s="23"/>
      <c r="C35" s="16"/>
      <c r="D35" s="60"/>
      <c r="E35" s="62"/>
      <c r="F35" s="17"/>
      <c r="G35" s="18"/>
      <c r="H35" s="20"/>
      <c r="I35" s="19"/>
      <c r="J35" s="19"/>
      <c r="K35" s="20"/>
      <c r="L35" s="38"/>
      <c r="M35" s="21"/>
    </row>
    <row r="36" spans="1:13" ht="25.5" customHeight="1" thickBot="1" x14ac:dyDescent="0.45">
      <c r="A36" s="50"/>
      <c r="B36" s="15"/>
      <c r="C36" s="16"/>
      <c r="D36" s="60"/>
      <c r="E36" s="62"/>
      <c r="F36" s="17"/>
      <c r="G36" s="18"/>
      <c r="H36" s="20"/>
      <c r="I36" s="19"/>
      <c r="J36" s="19"/>
      <c r="K36" s="20"/>
      <c r="L36" s="38"/>
      <c r="M36" s="21"/>
    </row>
    <row r="37" spans="1:13" ht="49" customHeight="1" thickTop="1" thickBot="1" x14ac:dyDescent="0.45">
      <c r="A37" s="51"/>
      <c r="B37" s="27"/>
      <c r="C37" s="28" t="s">
        <v>22</v>
      </c>
      <c r="D37" s="106" t="s">
        <v>38</v>
      </c>
      <c r="E37" s="124"/>
      <c r="F37" s="29"/>
      <c r="G37" s="30"/>
      <c r="H37" s="31">
        <f>SUM(H7:H36)</f>
        <v>95</v>
      </c>
      <c r="I37" s="31"/>
      <c r="J37" s="31"/>
      <c r="K37" s="31"/>
      <c r="L37" s="86">
        <f>SUM(L7:L36)</f>
        <v>19820</v>
      </c>
      <c r="M37" s="87" t="s">
        <v>79</v>
      </c>
    </row>
    <row r="38" spans="1:13" ht="32.5" customHeight="1" thickTop="1" thickBot="1" x14ac:dyDescent="0.45">
      <c r="A38" s="53"/>
      <c r="B38" s="33"/>
      <c r="C38" s="34"/>
      <c r="D38" s="35"/>
      <c r="E38" s="35"/>
      <c r="F38" s="35"/>
      <c r="G38" s="35"/>
      <c r="H38" s="35"/>
      <c r="I38" s="35"/>
      <c r="J38" s="35"/>
      <c r="K38" s="35"/>
      <c r="L38" s="88" t="s">
        <v>24</v>
      </c>
      <c r="M38" s="85">
        <f>SUM(L6:L36)</f>
        <v>19543</v>
      </c>
    </row>
    <row r="39" spans="1:13" s="6" customFormat="1" ht="23.25" customHeight="1" thickTop="1" thickBot="1" x14ac:dyDescent="0.45">
      <c r="A39" s="55" t="s">
        <v>25</v>
      </c>
      <c r="B39" s="56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8"/>
    </row>
  </sheetData>
  <sortState xmlns:xlrd2="http://schemas.microsoft.com/office/spreadsheetml/2017/richdata2" ref="C7:M21">
    <sortCondition ref="C7:C21"/>
  </sortState>
  <mergeCells count="14">
    <mergeCell ref="D5:E5"/>
    <mergeCell ref="D37:E37"/>
    <mergeCell ref="A1:M1"/>
    <mergeCell ref="A2:A4"/>
    <mergeCell ref="B2:B4"/>
    <mergeCell ref="C2:C4"/>
    <mergeCell ref="D2:H2"/>
    <mergeCell ref="I2:J2"/>
    <mergeCell ref="K2:L2"/>
    <mergeCell ref="M2:M4"/>
    <mergeCell ref="F3:G3"/>
    <mergeCell ref="I3:I4"/>
    <mergeCell ref="J3:J4"/>
    <mergeCell ref="L3:L4"/>
  </mergeCells>
  <phoneticPr fontId="9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4BB79-8469-4961-9B6B-B9EDADC94151}">
  <sheetPr>
    <pageSetUpPr fitToPage="1"/>
  </sheetPr>
  <dimension ref="A1:M41"/>
  <sheetViews>
    <sheetView topLeftCell="A13" zoomScale="40" zoomScaleNormal="40" workbookViewId="0">
      <selection activeCell="M40" sqref="M40"/>
    </sheetView>
  </sheetViews>
  <sheetFormatPr defaultColWidth="9" defaultRowHeight="17" x14ac:dyDescent="0.4"/>
  <cols>
    <col min="1" max="1" width="20.90625" style="3" customWidth="1"/>
    <col min="2" max="2" width="21.90625" style="3" customWidth="1"/>
    <col min="3" max="3" width="20.453125" style="3" customWidth="1"/>
    <col min="4" max="12" width="15.90625" style="3" customWidth="1"/>
    <col min="13" max="13" width="52.08984375" style="3" customWidth="1"/>
    <col min="14" max="16384" width="9" style="3"/>
  </cols>
  <sheetData>
    <row r="1" spans="1:13" ht="33.75" customHeight="1" x14ac:dyDescent="0.4">
      <c r="A1" s="108" t="str">
        <f>'0'!A1:M1</f>
        <v>育聖文理短期補習班  115年1月份出勤考核總表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10"/>
    </row>
    <row r="2" spans="1:13" ht="23.25" customHeight="1" x14ac:dyDescent="0.4">
      <c r="A2" s="111" t="s">
        <v>0</v>
      </c>
      <c r="B2" s="114" t="s">
        <v>1</v>
      </c>
      <c r="C2" s="117" t="s">
        <v>2</v>
      </c>
      <c r="D2" s="117" t="s">
        <v>3</v>
      </c>
      <c r="E2" s="118"/>
      <c r="F2" s="118"/>
      <c r="G2" s="118"/>
      <c r="H2" s="118"/>
      <c r="I2" s="119" t="s">
        <v>4</v>
      </c>
      <c r="J2" s="120"/>
      <c r="K2" s="117" t="s">
        <v>5</v>
      </c>
      <c r="L2" s="118"/>
      <c r="M2" s="121" t="s">
        <v>30</v>
      </c>
    </row>
    <row r="3" spans="1:13" ht="21" customHeight="1" x14ac:dyDescent="0.4">
      <c r="A3" s="112"/>
      <c r="B3" s="115"/>
      <c r="C3" s="101"/>
      <c r="D3" s="99" t="s">
        <v>7</v>
      </c>
      <c r="E3" s="99" t="s">
        <v>8</v>
      </c>
      <c r="F3" s="100" t="s">
        <v>9</v>
      </c>
      <c r="G3" s="101"/>
      <c r="H3" s="99" t="s">
        <v>10</v>
      </c>
      <c r="I3" s="100" t="s">
        <v>11</v>
      </c>
      <c r="J3" s="100" t="s">
        <v>12</v>
      </c>
      <c r="K3" s="1" t="s">
        <v>13</v>
      </c>
      <c r="L3" s="102" t="s">
        <v>14</v>
      </c>
      <c r="M3" s="122"/>
    </row>
    <row r="4" spans="1:13" ht="27" x14ac:dyDescent="0.4">
      <c r="A4" s="113"/>
      <c r="B4" s="116"/>
      <c r="C4" s="101"/>
      <c r="D4" s="4" t="s">
        <v>15</v>
      </c>
      <c r="E4" s="5" t="s">
        <v>15</v>
      </c>
      <c r="F4" s="2" t="s">
        <v>16</v>
      </c>
      <c r="G4" s="99" t="s">
        <v>31</v>
      </c>
      <c r="H4" s="99" t="s">
        <v>18</v>
      </c>
      <c r="I4" s="101"/>
      <c r="J4" s="101"/>
      <c r="K4" s="1" t="s">
        <v>19</v>
      </c>
      <c r="L4" s="103"/>
      <c r="M4" s="123"/>
    </row>
    <row r="5" spans="1:13" ht="23.5" customHeight="1" x14ac:dyDescent="0.4">
      <c r="A5" s="46" t="s">
        <v>32</v>
      </c>
      <c r="B5" s="7" t="s">
        <v>39</v>
      </c>
      <c r="C5" s="8"/>
      <c r="D5" s="104" t="s">
        <v>34</v>
      </c>
      <c r="E5" s="105"/>
      <c r="F5" s="9"/>
      <c r="G5" s="10"/>
      <c r="H5" s="11"/>
      <c r="I5" s="12"/>
      <c r="J5" s="12"/>
      <c r="K5" s="12"/>
      <c r="L5" s="13"/>
      <c r="M5" s="14" t="s">
        <v>50</v>
      </c>
    </row>
    <row r="6" spans="1:13" ht="25.5" customHeight="1" x14ac:dyDescent="0.4">
      <c r="A6" s="47"/>
      <c r="B6" s="15"/>
      <c r="C6" s="39" t="s">
        <v>21</v>
      </c>
      <c r="D6" s="40"/>
      <c r="E6" s="40"/>
      <c r="F6" s="41"/>
      <c r="G6" s="42"/>
      <c r="H6" s="43">
        <f t="shared" ref="H6" si="0">E6-D6</f>
        <v>0</v>
      </c>
      <c r="I6" s="44"/>
      <c r="J6" s="44"/>
      <c r="K6" s="43"/>
      <c r="L6" s="45">
        <v>-277</v>
      </c>
      <c r="M6" s="63" t="s">
        <v>40</v>
      </c>
    </row>
    <row r="7" spans="1:13" ht="25.5" customHeight="1" x14ac:dyDescent="0.4">
      <c r="A7" s="48"/>
      <c r="B7" s="64"/>
      <c r="C7" s="59" t="s">
        <v>57</v>
      </c>
      <c r="D7" s="60">
        <v>15.5</v>
      </c>
      <c r="E7" s="60">
        <v>19.5</v>
      </c>
      <c r="F7" s="65"/>
      <c r="G7" s="66"/>
      <c r="H7" s="20">
        <f>E7-D7</f>
        <v>4</v>
      </c>
      <c r="I7" s="67"/>
      <c r="J7" s="67"/>
      <c r="K7" s="20"/>
      <c r="L7" s="68">
        <f>196*H7</f>
        <v>784</v>
      </c>
      <c r="M7" s="69"/>
    </row>
    <row r="8" spans="1:13" ht="25.5" customHeight="1" x14ac:dyDescent="0.45">
      <c r="A8" s="22"/>
      <c r="B8" s="64"/>
      <c r="C8" s="59"/>
      <c r="D8" s="60">
        <v>19.5</v>
      </c>
      <c r="E8" s="60">
        <v>21.5</v>
      </c>
      <c r="F8" s="65"/>
      <c r="G8" s="66"/>
      <c r="H8" s="20">
        <f t="shared" ref="H8:H31" si="1">E8-D8</f>
        <v>2</v>
      </c>
      <c r="I8" s="67"/>
      <c r="J8" s="67"/>
      <c r="K8" s="20"/>
      <c r="L8" s="68">
        <f>300*H8</f>
        <v>600</v>
      </c>
      <c r="M8" s="80" t="s">
        <v>41</v>
      </c>
    </row>
    <row r="9" spans="1:13" ht="25.5" customHeight="1" x14ac:dyDescent="0.4">
      <c r="A9" s="48"/>
      <c r="B9" s="64"/>
      <c r="C9" s="59" t="s">
        <v>84</v>
      </c>
      <c r="D9" s="60">
        <v>9</v>
      </c>
      <c r="E9" s="60">
        <v>12</v>
      </c>
      <c r="F9" s="65"/>
      <c r="G9" s="66"/>
      <c r="H9" s="20">
        <f t="shared" si="1"/>
        <v>3</v>
      </c>
      <c r="I9" s="67"/>
      <c r="J9" s="67"/>
      <c r="K9" s="20"/>
      <c r="L9" s="68">
        <f t="shared" ref="L8:L38" si="2">196*H9</f>
        <v>588</v>
      </c>
      <c r="M9" s="69"/>
    </row>
    <row r="10" spans="1:13" ht="25.5" customHeight="1" x14ac:dyDescent="0.45">
      <c r="A10" s="49"/>
      <c r="B10" s="70"/>
      <c r="C10" s="59"/>
      <c r="D10" s="60">
        <v>13</v>
      </c>
      <c r="E10" s="126">
        <v>14.5</v>
      </c>
      <c r="F10" s="65"/>
      <c r="G10" s="66"/>
      <c r="H10" s="20">
        <f t="shared" si="1"/>
        <v>1.5</v>
      </c>
      <c r="I10" s="67"/>
      <c r="J10" s="67"/>
      <c r="K10" s="20"/>
      <c r="L10" s="68">
        <f>300*H10</f>
        <v>450</v>
      </c>
      <c r="M10" s="80" t="s">
        <v>41</v>
      </c>
    </row>
    <row r="11" spans="1:13" ht="25.5" customHeight="1" x14ac:dyDescent="0.45">
      <c r="A11" s="49"/>
      <c r="B11" s="70"/>
      <c r="C11" s="59" t="s">
        <v>85</v>
      </c>
      <c r="D11" s="60">
        <v>17</v>
      </c>
      <c r="E11" s="60">
        <v>21</v>
      </c>
      <c r="F11" s="65"/>
      <c r="G11" s="66"/>
      <c r="H11" s="20">
        <f t="shared" si="1"/>
        <v>4</v>
      </c>
      <c r="I11" s="67"/>
      <c r="J11" s="67"/>
      <c r="K11" s="20"/>
      <c r="L11" s="68">
        <f t="shared" si="2"/>
        <v>784</v>
      </c>
      <c r="M11" s="80"/>
    </row>
    <row r="12" spans="1:13" ht="25.5" customHeight="1" x14ac:dyDescent="0.45">
      <c r="A12" s="49"/>
      <c r="B12" s="70"/>
      <c r="C12" s="59" t="s">
        <v>80</v>
      </c>
      <c r="D12" s="60">
        <v>15.5</v>
      </c>
      <c r="E12" s="60">
        <v>20</v>
      </c>
      <c r="F12" s="65"/>
      <c r="G12" s="66"/>
      <c r="H12" s="20">
        <f t="shared" si="1"/>
        <v>4.5</v>
      </c>
      <c r="I12" s="67"/>
      <c r="J12" s="67"/>
      <c r="K12" s="20"/>
      <c r="L12" s="68">
        <f t="shared" si="2"/>
        <v>882</v>
      </c>
      <c r="M12" s="71"/>
    </row>
    <row r="13" spans="1:13" ht="25.5" customHeight="1" x14ac:dyDescent="0.4">
      <c r="A13" s="49"/>
      <c r="B13" s="70"/>
      <c r="C13" s="59" t="s">
        <v>60</v>
      </c>
      <c r="D13" s="60">
        <v>13.5</v>
      </c>
      <c r="E13" s="60">
        <v>20.5</v>
      </c>
      <c r="F13" s="65"/>
      <c r="G13" s="66"/>
      <c r="H13" s="20">
        <f t="shared" si="1"/>
        <v>7</v>
      </c>
      <c r="I13" s="67"/>
      <c r="J13" s="67"/>
      <c r="K13" s="20"/>
      <c r="L13" s="68">
        <f t="shared" si="2"/>
        <v>1372</v>
      </c>
      <c r="M13" s="69"/>
    </row>
    <row r="14" spans="1:13" ht="25.5" customHeight="1" x14ac:dyDescent="0.4">
      <c r="A14" s="49"/>
      <c r="B14" s="70"/>
      <c r="C14" s="59" t="s">
        <v>81</v>
      </c>
      <c r="D14" s="60">
        <v>15.5</v>
      </c>
      <c r="E14" s="60">
        <v>21.5</v>
      </c>
      <c r="F14" s="65"/>
      <c r="G14" s="66"/>
      <c r="H14" s="20">
        <f t="shared" si="1"/>
        <v>6</v>
      </c>
      <c r="I14" s="67"/>
      <c r="J14" s="67"/>
      <c r="K14" s="20"/>
      <c r="L14" s="68">
        <f t="shared" si="2"/>
        <v>1176</v>
      </c>
      <c r="M14" s="69"/>
    </row>
    <row r="15" spans="1:13" ht="25.5" customHeight="1" x14ac:dyDescent="0.4">
      <c r="A15" s="49"/>
      <c r="B15" s="70"/>
      <c r="C15" s="59" t="s">
        <v>82</v>
      </c>
      <c r="D15" s="60">
        <v>16.5</v>
      </c>
      <c r="E15" s="60">
        <v>19.5</v>
      </c>
      <c r="F15" s="65"/>
      <c r="G15" s="66"/>
      <c r="H15" s="20">
        <f t="shared" si="1"/>
        <v>3</v>
      </c>
      <c r="I15" s="67"/>
      <c r="J15" s="67"/>
      <c r="K15" s="20"/>
      <c r="L15" s="68">
        <f t="shared" si="2"/>
        <v>588</v>
      </c>
      <c r="M15" s="69"/>
    </row>
    <row r="16" spans="1:13" ht="25.5" customHeight="1" x14ac:dyDescent="0.45">
      <c r="A16" s="49"/>
      <c r="B16" s="70"/>
      <c r="C16" s="59"/>
      <c r="D16" s="60">
        <v>19.5</v>
      </c>
      <c r="E16" s="60">
        <v>21</v>
      </c>
      <c r="F16" s="65"/>
      <c r="G16" s="66"/>
      <c r="H16" s="20">
        <f t="shared" si="1"/>
        <v>1.5</v>
      </c>
      <c r="I16" s="67"/>
      <c r="J16" s="67"/>
      <c r="K16" s="20"/>
      <c r="L16" s="68">
        <f>300*H16</f>
        <v>450</v>
      </c>
      <c r="M16" s="80" t="s">
        <v>41</v>
      </c>
    </row>
    <row r="17" spans="1:13" ht="25.5" customHeight="1" x14ac:dyDescent="0.4">
      <c r="A17" s="49"/>
      <c r="B17" s="70"/>
      <c r="C17" s="59"/>
      <c r="D17" s="60">
        <v>21</v>
      </c>
      <c r="E17" s="60">
        <v>22</v>
      </c>
      <c r="F17" s="65"/>
      <c r="G17" s="66"/>
      <c r="H17" s="20">
        <f t="shared" si="1"/>
        <v>1</v>
      </c>
      <c r="I17" s="67"/>
      <c r="J17" s="67"/>
      <c r="K17" s="20"/>
      <c r="L17" s="68">
        <f t="shared" si="2"/>
        <v>196</v>
      </c>
      <c r="M17" s="69"/>
    </row>
    <row r="18" spans="1:13" ht="25.5" customHeight="1" x14ac:dyDescent="0.4">
      <c r="A18" s="49"/>
      <c r="B18" s="70"/>
      <c r="C18" s="59" t="s">
        <v>91</v>
      </c>
      <c r="D18" s="60">
        <v>9</v>
      </c>
      <c r="E18" s="60">
        <v>14</v>
      </c>
      <c r="F18" s="17"/>
      <c r="G18" s="91"/>
      <c r="H18" s="20">
        <f t="shared" si="1"/>
        <v>5</v>
      </c>
      <c r="I18" s="74"/>
      <c r="J18" s="74"/>
      <c r="K18" s="20"/>
      <c r="L18" s="68">
        <f t="shared" si="2"/>
        <v>980</v>
      </c>
      <c r="M18" s="69"/>
    </row>
    <row r="19" spans="1:13" ht="25.5" customHeight="1" x14ac:dyDescent="0.4">
      <c r="A19" s="50"/>
      <c r="B19" s="70"/>
      <c r="C19" s="59" t="s">
        <v>64</v>
      </c>
      <c r="D19" s="60">
        <v>15.5</v>
      </c>
      <c r="E19" s="60">
        <v>20</v>
      </c>
      <c r="F19" s="17"/>
      <c r="G19" s="91"/>
      <c r="H19" s="20">
        <f t="shared" ref="H19:H30" si="3">E19-D19</f>
        <v>4.5</v>
      </c>
      <c r="I19" s="74"/>
      <c r="J19" s="74"/>
      <c r="K19" s="20"/>
      <c r="L19" s="68">
        <f t="shared" ref="L19:L30" si="4">196*H19</f>
        <v>882</v>
      </c>
      <c r="M19" s="69"/>
    </row>
    <row r="20" spans="1:13" ht="25.5" customHeight="1" x14ac:dyDescent="0.45">
      <c r="A20" s="49"/>
      <c r="B20" s="70"/>
      <c r="C20" s="59" t="s">
        <v>65</v>
      </c>
      <c r="D20" s="60">
        <v>12.5</v>
      </c>
      <c r="E20" s="60">
        <v>19.5</v>
      </c>
      <c r="F20" s="65"/>
      <c r="G20" s="66"/>
      <c r="H20" s="20">
        <f t="shared" si="3"/>
        <v>7</v>
      </c>
      <c r="I20" s="67"/>
      <c r="J20" s="67"/>
      <c r="K20" s="20"/>
      <c r="L20" s="68">
        <f t="shared" si="4"/>
        <v>1372</v>
      </c>
      <c r="M20" s="80"/>
    </row>
    <row r="21" spans="1:13" ht="25.5" customHeight="1" x14ac:dyDescent="0.4">
      <c r="A21" s="49"/>
      <c r="B21" s="70"/>
      <c r="C21" s="59" t="s">
        <v>83</v>
      </c>
      <c r="D21" s="60">
        <v>15.5</v>
      </c>
      <c r="E21" s="60">
        <v>19.5</v>
      </c>
      <c r="F21" s="65"/>
      <c r="G21" s="66"/>
      <c r="H21" s="20">
        <f t="shared" si="3"/>
        <v>4</v>
      </c>
      <c r="I21" s="67"/>
      <c r="J21" s="67"/>
      <c r="K21" s="20"/>
      <c r="L21" s="68">
        <f t="shared" si="4"/>
        <v>784</v>
      </c>
      <c r="M21" s="69"/>
    </row>
    <row r="22" spans="1:13" ht="25.5" customHeight="1" x14ac:dyDescent="0.45">
      <c r="A22" s="49"/>
      <c r="B22" s="70"/>
      <c r="C22" s="59"/>
      <c r="D22" s="64">
        <v>19.5</v>
      </c>
      <c r="E22" s="64">
        <v>21</v>
      </c>
      <c r="F22" s="65"/>
      <c r="G22" s="66"/>
      <c r="H22" s="20">
        <f t="shared" si="3"/>
        <v>1.5</v>
      </c>
      <c r="I22" s="67"/>
      <c r="J22" s="67"/>
      <c r="K22" s="20"/>
      <c r="L22" s="68">
        <f>300*H22</f>
        <v>450</v>
      </c>
      <c r="M22" s="80" t="s">
        <v>41</v>
      </c>
    </row>
    <row r="23" spans="1:13" ht="25.5" customHeight="1" x14ac:dyDescent="0.4">
      <c r="A23" s="49"/>
      <c r="B23" s="70"/>
      <c r="C23" s="59" t="s">
        <v>86</v>
      </c>
      <c r="D23" s="60">
        <v>16</v>
      </c>
      <c r="E23" s="60">
        <v>19.5</v>
      </c>
      <c r="F23" s="65"/>
      <c r="G23" s="66"/>
      <c r="H23" s="20">
        <f t="shared" si="3"/>
        <v>3.5</v>
      </c>
      <c r="I23" s="67"/>
      <c r="J23" s="67"/>
      <c r="K23" s="20"/>
      <c r="L23" s="68">
        <f t="shared" ref="L23:L30" si="5">196*H23</f>
        <v>686</v>
      </c>
      <c r="M23" s="69"/>
    </row>
    <row r="24" spans="1:13" ht="25.5" customHeight="1" x14ac:dyDescent="0.4">
      <c r="A24" s="49"/>
      <c r="B24" s="70"/>
      <c r="C24" s="59"/>
      <c r="D24" s="60">
        <v>19.5</v>
      </c>
      <c r="E24" s="60">
        <v>21</v>
      </c>
      <c r="F24" s="17"/>
      <c r="G24" s="91"/>
      <c r="H24" s="20">
        <f t="shared" si="3"/>
        <v>1.5</v>
      </c>
      <c r="I24" s="74"/>
      <c r="J24" s="74"/>
      <c r="K24" s="20"/>
      <c r="L24" s="68">
        <f>300*H24</f>
        <v>450</v>
      </c>
      <c r="M24" s="69"/>
    </row>
    <row r="25" spans="1:13" ht="25.5" customHeight="1" x14ac:dyDescent="0.4">
      <c r="A25" s="49"/>
      <c r="B25" s="70"/>
      <c r="C25" s="59" t="s">
        <v>87</v>
      </c>
      <c r="D25" s="60">
        <v>14</v>
      </c>
      <c r="E25" s="60">
        <v>20</v>
      </c>
      <c r="F25" s="65"/>
      <c r="G25" s="66"/>
      <c r="H25" s="20">
        <f t="shared" si="3"/>
        <v>6</v>
      </c>
      <c r="I25" s="67"/>
      <c r="J25" s="67"/>
      <c r="K25" s="20"/>
      <c r="L25" s="68">
        <f t="shared" ref="L25:L30" si="6">196*H25</f>
        <v>1176</v>
      </c>
      <c r="M25" s="69"/>
    </row>
    <row r="26" spans="1:13" ht="25.5" customHeight="1" x14ac:dyDescent="0.4">
      <c r="A26" s="49"/>
      <c r="B26" s="70"/>
      <c r="C26" s="59" t="s">
        <v>88</v>
      </c>
      <c r="D26" s="60">
        <v>15.5</v>
      </c>
      <c r="E26" s="60">
        <v>19.5</v>
      </c>
      <c r="F26" s="65"/>
      <c r="G26" s="66"/>
      <c r="H26" s="20">
        <f t="shared" si="3"/>
        <v>4</v>
      </c>
      <c r="I26" s="67"/>
      <c r="J26" s="67"/>
      <c r="K26" s="20"/>
      <c r="L26" s="68">
        <f t="shared" si="6"/>
        <v>784</v>
      </c>
      <c r="M26" s="69"/>
    </row>
    <row r="27" spans="1:13" ht="25.5" customHeight="1" x14ac:dyDescent="0.45">
      <c r="A27" s="49"/>
      <c r="B27" s="23"/>
      <c r="C27" s="94"/>
      <c r="D27" s="60">
        <v>19.5</v>
      </c>
      <c r="E27" s="60">
        <v>21</v>
      </c>
      <c r="F27" s="65"/>
      <c r="G27" s="66"/>
      <c r="H27" s="20">
        <f t="shared" si="3"/>
        <v>1.5</v>
      </c>
      <c r="I27" s="67"/>
      <c r="J27" s="67"/>
      <c r="K27" s="20"/>
      <c r="L27" s="68">
        <f>300*H27</f>
        <v>450</v>
      </c>
      <c r="M27" s="80" t="s">
        <v>41</v>
      </c>
    </row>
    <row r="28" spans="1:13" ht="25.5" customHeight="1" x14ac:dyDescent="0.4">
      <c r="A28" s="49"/>
      <c r="B28" s="23"/>
      <c r="C28" s="59" t="s">
        <v>89</v>
      </c>
      <c r="D28" s="60">
        <v>15.5</v>
      </c>
      <c r="E28" s="60">
        <v>19</v>
      </c>
      <c r="F28" s="65"/>
      <c r="G28" s="66"/>
      <c r="H28" s="20">
        <f t="shared" si="3"/>
        <v>3.5</v>
      </c>
      <c r="I28" s="73"/>
      <c r="J28" s="73"/>
      <c r="K28" s="20"/>
      <c r="L28" s="68">
        <f t="shared" ref="L28:L30" si="7">196*H28</f>
        <v>686</v>
      </c>
      <c r="M28" s="69"/>
    </row>
    <row r="29" spans="1:13" ht="25.5" customHeight="1" x14ac:dyDescent="0.4">
      <c r="A29" s="49"/>
      <c r="B29" s="23"/>
      <c r="C29" s="59" t="s">
        <v>90</v>
      </c>
      <c r="D29" s="60">
        <v>17</v>
      </c>
      <c r="E29" s="60">
        <v>21</v>
      </c>
      <c r="F29" s="65"/>
      <c r="G29" s="66"/>
      <c r="H29" s="20">
        <f t="shared" si="3"/>
        <v>4</v>
      </c>
      <c r="I29" s="26"/>
      <c r="J29" s="26"/>
      <c r="K29" s="20"/>
      <c r="L29" s="68">
        <f t="shared" si="7"/>
        <v>784</v>
      </c>
      <c r="M29" s="69"/>
    </row>
    <row r="30" spans="1:13" ht="25.5" customHeight="1" x14ac:dyDescent="0.4">
      <c r="A30" s="49"/>
      <c r="B30" s="23"/>
      <c r="C30" s="59" t="s">
        <v>76</v>
      </c>
      <c r="D30" s="60">
        <v>17</v>
      </c>
      <c r="E30" s="60">
        <v>21.5</v>
      </c>
      <c r="F30" s="65"/>
      <c r="G30" s="66"/>
      <c r="H30" s="20">
        <f t="shared" si="3"/>
        <v>4.5</v>
      </c>
      <c r="I30" s="26"/>
      <c r="J30" s="26"/>
      <c r="K30" s="20"/>
      <c r="L30" s="68">
        <f t="shared" si="7"/>
        <v>882</v>
      </c>
      <c r="M30" s="69"/>
    </row>
    <row r="31" spans="1:13" ht="25.5" customHeight="1" x14ac:dyDescent="0.4">
      <c r="A31" s="49"/>
      <c r="B31" s="23"/>
      <c r="C31" s="94"/>
      <c r="D31" s="60"/>
      <c r="E31" s="60"/>
      <c r="F31" s="65"/>
      <c r="G31" s="66"/>
      <c r="H31" s="20"/>
      <c r="I31" s="26"/>
      <c r="J31" s="26"/>
      <c r="K31" s="20"/>
      <c r="L31" s="68"/>
      <c r="M31" s="21"/>
    </row>
    <row r="32" spans="1:13" ht="25.5" customHeight="1" x14ac:dyDescent="0.4">
      <c r="A32" s="49"/>
      <c r="B32" s="95"/>
      <c r="C32" s="94"/>
      <c r="D32" s="60"/>
      <c r="E32" s="60"/>
      <c r="F32" s="65"/>
      <c r="G32" s="66"/>
      <c r="H32" s="20"/>
      <c r="I32" s="26"/>
      <c r="J32" s="26"/>
      <c r="K32" s="20"/>
      <c r="L32" s="68"/>
      <c r="M32" s="21"/>
    </row>
    <row r="33" spans="1:13" ht="25.5" customHeight="1" x14ac:dyDescent="0.4">
      <c r="A33" s="96"/>
      <c r="B33" s="60"/>
      <c r="C33" s="62"/>
      <c r="D33" s="62"/>
      <c r="E33" s="60"/>
      <c r="F33" s="65"/>
      <c r="G33" s="66"/>
      <c r="H33" s="20"/>
      <c r="I33" s="26"/>
      <c r="J33" s="26"/>
      <c r="K33" s="20"/>
      <c r="L33" s="68"/>
      <c r="M33" s="21"/>
    </row>
    <row r="34" spans="1:13" ht="25.5" customHeight="1" x14ac:dyDescent="0.4">
      <c r="A34" s="96"/>
      <c r="B34" s="60"/>
      <c r="C34" s="62"/>
      <c r="D34" s="62"/>
      <c r="E34" s="60"/>
      <c r="F34" s="17"/>
      <c r="G34" s="18"/>
      <c r="H34" s="20"/>
      <c r="I34" s="26"/>
      <c r="J34" s="26"/>
      <c r="K34" s="20"/>
      <c r="L34" s="68"/>
      <c r="M34" s="21"/>
    </row>
    <row r="35" spans="1:13" ht="25.5" customHeight="1" x14ac:dyDescent="0.4">
      <c r="A35" s="96"/>
      <c r="B35" s="60"/>
      <c r="C35" s="62"/>
      <c r="D35" s="62"/>
      <c r="E35" s="60"/>
      <c r="F35" s="17"/>
      <c r="G35" s="18"/>
      <c r="H35" s="20"/>
      <c r="I35" s="26"/>
      <c r="J35" s="26"/>
      <c r="K35" s="20"/>
      <c r="L35" s="68"/>
      <c r="M35" s="21"/>
    </row>
    <row r="36" spans="1:13" ht="25.5" customHeight="1" x14ac:dyDescent="0.4">
      <c r="A36" s="96"/>
      <c r="B36" s="60"/>
      <c r="C36" s="62"/>
      <c r="D36" s="62"/>
      <c r="E36" s="60"/>
      <c r="F36" s="17"/>
      <c r="G36" s="18"/>
      <c r="H36" s="20"/>
      <c r="I36" s="26"/>
      <c r="J36" s="26"/>
      <c r="K36" s="20"/>
      <c r="L36" s="68"/>
      <c r="M36" s="21"/>
    </row>
    <row r="37" spans="1:13" ht="25.5" customHeight="1" x14ac:dyDescent="0.4">
      <c r="A37" s="96"/>
      <c r="B37" s="60"/>
      <c r="C37" s="62"/>
      <c r="D37" s="62"/>
      <c r="E37" s="60"/>
      <c r="F37" s="17"/>
      <c r="G37" s="18"/>
      <c r="H37" s="20"/>
      <c r="I37" s="26"/>
      <c r="J37" s="26"/>
      <c r="K37" s="20"/>
      <c r="L37" s="68"/>
      <c r="M37" s="21"/>
    </row>
    <row r="38" spans="1:13" ht="25.5" customHeight="1" thickBot="1" x14ac:dyDescent="0.45">
      <c r="A38" s="49"/>
      <c r="B38" s="97"/>
      <c r="C38" s="98"/>
      <c r="D38" s="60"/>
      <c r="E38" s="60"/>
      <c r="F38" s="17"/>
      <c r="G38" s="18"/>
      <c r="H38" s="20"/>
      <c r="I38" s="26"/>
      <c r="J38" s="26"/>
      <c r="K38" s="20"/>
      <c r="L38" s="68"/>
      <c r="M38" s="21"/>
    </row>
    <row r="39" spans="1:13" ht="49" customHeight="1" thickTop="1" thickBot="1" x14ac:dyDescent="0.45">
      <c r="A39" s="51"/>
      <c r="B39" s="27"/>
      <c r="C39" s="28" t="s">
        <v>22</v>
      </c>
      <c r="D39" s="106" t="s">
        <v>38</v>
      </c>
      <c r="E39" s="107"/>
      <c r="F39" s="29"/>
      <c r="G39" s="30"/>
      <c r="H39" s="31">
        <f>SUM(H7:H38)</f>
        <v>88</v>
      </c>
      <c r="I39" s="31"/>
      <c r="J39" s="31"/>
      <c r="K39" s="31"/>
      <c r="L39" s="86">
        <f>SUM(L7:L30)</f>
        <v>18236</v>
      </c>
      <c r="M39" s="87" t="s">
        <v>100</v>
      </c>
    </row>
    <row r="40" spans="1:13" ht="32.5" customHeight="1" thickTop="1" thickBot="1" x14ac:dyDescent="0.45">
      <c r="A40" s="53"/>
      <c r="B40" s="33"/>
      <c r="C40" s="34"/>
      <c r="D40" s="35"/>
      <c r="E40" s="35"/>
      <c r="F40" s="35"/>
      <c r="G40" s="35"/>
      <c r="H40" s="35"/>
      <c r="I40" s="35"/>
      <c r="J40" s="35"/>
      <c r="K40" s="35"/>
      <c r="L40" s="88" t="s">
        <v>24</v>
      </c>
      <c r="M40" s="85">
        <f>SUM(L6:L38)</f>
        <v>17959</v>
      </c>
    </row>
    <row r="41" spans="1:13" s="6" customFormat="1" ht="23.25" customHeight="1" thickTop="1" thickBot="1" x14ac:dyDescent="0.45">
      <c r="A41" s="55" t="s">
        <v>25</v>
      </c>
      <c r="B41" s="56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8"/>
    </row>
  </sheetData>
  <mergeCells count="14">
    <mergeCell ref="J3:J4"/>
    <mergeCell ref="L3:L4"/>
    <mergeCell ref="D5:E5"/>
    <mergeCell ref="D39:E39"/>
    <mergeCell ref="A1:M1"/>
    <mergeCell ref="A2:A4"/>
    <mergeCell ref="B2:B4"/>
    <mergeCell ref="C2:C4"/>
    <mergeCell ref="D2:H2"/>
    <mergeCell ref="I2:J2"/>
    <mergeCell ref="K2:L2"/>
    <mergeCell ref="M2:M4"/>
    <mergeCell ref="F3:G3"/>
    <mergeCell ref="I3:I4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B1D37-6B47-4DB7-AC50-C23B8802FFA6}">
  <sheetPr>
    <pageSetUpPr fitToPage="1"/>
  </sheetPr>
  <dimension ref="A1:M41"/>
  <sheetViews>
    <sheetView tabSelected="1" zoomScale="40" zoomScaleNormal="40" workbookViewId="0">
      <selection activeCell="M39" sqref="M39"/>
    </sheetView>
  </sheetViews>
  <sheetFormatPr defaultColWidth="9" defaultRowHeight="17" x14ac:dyDescent="0.4"/>
  <cols>
    <col min="1" max="1" width="20.90625" style="3" customWidth="1"/>
    <col min="2" max="2" width="21.90625" style="3" customWidth="1"/>
    <col min="3" max="3" width="20.453125" style="3" customWidth="1"/>
    <col min="4" max="12" width="15.90625" style="3" customWidth="1"/>
    <col min="13" max="13" width="52.08984375" style="3" customWidth="1"/>
    <col min="14" max="16384" width="9" style="3"/>
  </cols>
  <sheetData>
    <row r="1" spans="1:13" ht="33.75" customHeight="1" x14ac:dyDescent="0.4">
      <c r="A1" s="108" t="str">
        <f>'0'!A1:M1</f>
        <v>育聖文理短期補習班  115年1月份出勤考核總表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10"/>
    </row>
    <row r="2" spans="1:13" ht="23.25" customHeight="1" x14ac:dyDescent="0.4">
      <c r="A2" s="111" t="s">
        <v>0</v>
      </c>
      <c r="B2" s="114" t="s">
        <v>1</v>
      </c>
      <c r="C2" s="117" t="s">
        <v>2</v>
      </c>
      <c r="D2" s="117" t="s">
        <v>3</v>
      </c>
      <c r="E2" s="118"/>
      <c r="F2" s="118"/>
      <c r="G2" s="118"/>
      <c r="H2" s="118"/>
      <c r="I2" s="119" t="s">
        <v>4</v>
      </c>
      <c r="J2" s="120"/>
      <c r="K2" s="117" t="s">
        <v>5</v>
      </c>
      <c r="L2" s="118"/>
      <c r="M2" s="121" t="s">
        <v>30</v>
      </c>
    </row>
    <row r="3" spans="1:13" ht="21" customHeight="1" x14ac:dyDescent="0.4">
      <c r="A3" s="112"/>
      <c r="B3" s="115"/>
      <c r="C3" s="101"/>
      <c r="D3" s="99" t="s">
        <v>7</v>
      </c>
      <c r="E3" s="99" t="s">
        <v>8</v>
      </c>
      <c r="F3" s="100" t="s">
        <v>9</v>
      </c>
      <c r="G3" s="101"/>
      <c r="H3" s="99" t="s">
        <v>10</v>
      </c>
      <c r="I3" s="100" t="s">
        <v>11</v>
      </c>
      <c r="J3" s="100" t="s">
        <v>12</v>
      </c>
      <c r="K3" s="1" t="s">
        <v>13</v>
      </c>
      <c r="L3" s="102" t="s">
        <v>14</v>
      </c>
      <c r="M3" s="122"/>
    </row>
    <row r="4" spans="1:13" ht="27" x14ac:dyDescent="0.4">
      <c r="A4" s="113"/>
      <c r="B4" s="116"/>
      <c r="C4" s="101"/>
      <c r="D4" s="4" t="s">
        <v>15</v>
      </c>
      <c r="E4" s="5" t="s">
        <v>15</v>
      </c>
      <c r="F4" s="2" t="s">
        <v>16</v>
      </c>
      <c r="G4" s="99" t="s">
        <v>31</v>
      </c>
      <c r="H4" s="99" t="s">
        <v>18</v>
      </c>
      <c r="I4" s="101"/>
      <c r="J4" s="101"/>
      <c r="K4" s="1" t="s">
        <v>19</v>
      </c>
      <c r="L4" s="103"/>
      <c r="M4" s="123"/>
    </row>
    <row r="5" spans="1:13" ht="23.5" customHeight="1" x14ac:dyDescent="0.4">
      <c r="A5" s="46" t="s">
        <v>32</v>
      </c>
      <c r="B5" s="7" t="s">
        <v>42</v>
      </c>
      <c r="C5" s="8"/>
      <c r="D5" s="104" t="s">
        <v>34</v>
      </c>
      <c r="E5" s="105"/>
      <c r="F5" s="9"/>
      <c r="G5" s="10"/>
      <c r="H5" s="11"/>
      <c r="I5" s="12"/>
      <c r="J5" s="12"/>
      <c r="K5" s="12"/>
      <c r="L5" s="13"/>
      <c r="M5" s="14" t="s">
        <v>50</v>
      </c>
    </row>
    <row r="6" spans="1:13" ht="25.5" customHeight="1" x14ac:dyDescent="0.4">
      <c r="A6" s="47"/>
      <c r="B6" s="15" t="s">
        <v>43</v>
      </c>
      <c r="C6" s="39" t="s">
        <v>21</v>
      </c>
      <c r="D6" s="40"/>
      <c r="E6" s="40"/>
      <c r="F6" s="41"/>
      <c r="G6" s="42"/>
      <c r="H6" s="43">
        <f t="shared" ref="H6" si="0">E6-D6</f>
        <v>0</v>
      </c>
      <c r="I6" s="44"/>
      <c r="J6" s="44"/>
      <c r="K6" s="43"/>
      <c r="L6" s="45">
        <v>-277</v>
      </c>
      <c r="M6" s="63" t="s">
        <v>44</v>
      </c>
    </row>
    <row r="7" spans="1:13" ht="25.5" customHeight="1" x14ac:dyDescent="0.4">
      <c r="A7" s="48"/>
      <c r="B7" s="64"/>
      <c r="C7" s="59" t="s">
        <v>57</v>
      </c>
      <c r="D7" s="60">
        <v>14</v>
      </c>
      <c r="E7" s="60">
        <v>21.5</v>
      </c>
      <c r="F7" s="65"/>
      <c r="G7" s="66"/>
      <c r="H7" s="20">
        <f>E7-D7</f>
        <v>7.5</v>
      </c>
      <c r="I7" s="84"/>
      <c r="J7" s="84"/>
      <c r="K7" s="83"/>
      <c r="L7" s="68">
        <f>196*H7</f>
        <v>1470</v>
      </c>
      <c r="M7" s="69"/>
    </row>
    <row r="8" spans="1:13" ht="25.5" customHeight="1" x14ac:dyDescent="0.4">
      <c r="A8" s="22"/>
      <c r="B8" s="64"/>
      <c r="C8" s="59" t="s">
        <v>94</v>
      </c>
      <c r="D8" s="60">
        <v>11.5</v>
      </c>
      <c r="E8" s="60">
        <v>21</v>
      </c>
      <c r="F8" s="65"/>
      <c r="G8" s="66"/>
      <c r="H8" s="20">
        <f>E8-D8</f>
        <v>9.5</v>
      </c>
      <c r="I8" s="67"/>
      <c r="J8" s="67"/>
      <c r="K8" s="20"/>
      <c r="L8" s="68">
        <f t="shared" ref="L8:L38" si="1">196*H8</f>
        <v>1862</v>
      </c>
      <c r="M8" s="72"/>
    </row>
    <row r="9" spans="1:13" ht="25.5" customHeight="1" x14ac:dyDescent="0.4">
      <c r="A9" s="48"/>
      <c r="B9" s="64"/>
      <c r="C9" s="59" t="s">
        <v>95</v>
      </c>
      <c r="D9" s="60">
        <v>15</v>
      </c>
      <c r="E9" s="60">
        <v>21</v>
      </c>
      <c r="F9" s="65"/>
      <c r="G9" s="66"/>
      <c r="H9" s="20">
        <f t="shared" ref="H9:H25" si="2">E9-D9</f>
        <v>6</v>
      </c>
      <c r="I9" s="67"/>
      <c r="J9" s="67"/>
      <c r="K9" s="20"/>
      <c r="L9" s="68">
        <f t="shared" si="1"/>
        <v>1176</v>
      </c>
      <c r="M9" s="69"/>
    </row>
    <row r="10" spans="1:13" ht="25.5" customHeight="1" x14ac:dyDescent="0.4">
      <c r="A10" s="49"/>
      <c r="B10" s="70"/>
      <c r="C10" s="59" t="s">
        <v>81</v>
      </c>
      <c r="D10" s="60">
        <v>15.5</v>
      </c>
      <c r="E10" s="60">
        <v>21.5</v>
      </c>
      <c r="F10" s="65"/>
      <c r="G10" s="66"/>
      <c r="H10" s="20">
        <f t="shared" si="2"/>
        <v>6</v>
      </c>
      <c r="I10" s="67"/>
      <c r="J10" s="67"/>
      <c r="K10" s="20"/>
      <c r="L10" s="68">
        <f t="shared" si="1"/>
        <v>1176</v>
      </c>
      <c r="M10" s="69"/>
    </row>
    <row r="11" spans="1:13" ht="25.5" customHeight="1" x14ac:dyDescent="0.4">
      <c r="A11" s="49"/>
      <c r="B11" s="70"/>
      <c r="C11" s="59" t="s">
        <v>82</v>
      </c>
      <c r="D11" s="60">
        <v>14.5</v>
      </c>
      <c r="E11" s="60">
        <v>22</v>
      </c>
      <c r="F11" s="65"/>
      <c r="G11" s="66"/>
      <c r="H11" s="20">
        <f t="shared" si="2"/>
        <v>7.5</v>
      </c>
      <c r="I11" s="67"/>
      <c r="J11" s="67"/>
      <c r="K11" s="20"/>
      <c r="L11" s="68">
        <f t="shared" si="1"/>
        <v>1470</v>
      </c>
      <c r="M11" s="69"/>
    </row>
    <row r="12" spans="1:13" ht="25.5" customHeight="1" x14ac:dyDescent="0.45">
      <c r="A12" s="49"/>
      <c r="B12" s="70"/>
      <c r="C12" s="59" t="s">
        <v>63</v>
      </c>
      <c r="D12" s="60">
        <v>11.5</v>
      </c>
      <c r="E12" s="60">
        <v>21</v>
      </c>
      <c r="F12" s="65"/>
      <c r="G12" s="66"/>
      <c r="H12" s="20">
        <f t="shared" si="2"/>
        <v>9.5</v>
      </c>
      <c r="I12" s="67"/>
      <c r="J12" s="67"/>
      <c r="K12" s="20"/>
      <c r="L12" s="68">
        <f t="shared" si="1"/>
        <v>1862</v>
      </c>
      <c r="M12" s="71"/>
    </row>
    <row r="13" spans="1:13" ht="25.5" customHeight="1" x14ac:dyDescent="0.4">
      <c r="A13" s="49"/>
      <c r="B13" s="70"/>
      <c r="C13" s="59" t="s">
        <v>96</v>
      </c>
      <c r="D13" s="60">
        <v>11.5</v>
      </c>
      <c r="E13" s="60">
        <v>21</v>
      </c>
      <c r="F13" s="65"/>
      <c r="G13" s="66"/>
      <c r="H13" s="20">
        <f t="shared" si="2"/>
        <v>9.5</v>
      </c>
      <c r="I13" s="67"/>
      <c r="J13" s="67"/>
      <c r="K13" s="20"/>
      <c r="L13" s="68">
        <f t="shared" si="1"/>
        <v>1862</v>
      </c>
      <c r="M13" s="69"/>
    </row>
    <row r="14" spans="1:13" ht="25.5" customHeight="1" x14ac:dyDescent="0.4">
      <c r="A14" s="49"/>
      <c r="B14" s="70"/>
      <c r="C14" s="59" t="s">
        <v>97</v>
      </c>
      <c r="D14" s="60">
        <v>11.5</v>
      </c>
      <c r="E14" s="60">
        <v>21</v>
      </c>
      <c r="F14" s="65"/>
      <c r="G14" s="66"/>
      <c r="H14" s="20">
        <f t="shared" si="2"/>
        <v>9.5</v>
      </c>
      <c r="I14" s="67"/>
      <c r="J14" s="67"/>
      <c r="K14" s="20"/>
      <c r="L14" s="68">
        <f t="shared" si="1"/>
        <v>1862</v>
      </c>
      <c r="M14" s="69"/>
    </row>
    <row r="15" spans="1:13" ht="25.5" customHeight="1" x14ac:dyDescent="0.4">
      <c r="A15" s="49"/>
      <c r="B15" s="70"/>
      <c r="C15" s="59" t="s">
        <v>69</v>
      </c>
      <c r="D15" s="60">
        <v>11.5</v>
      </c>
      <c r="E15" s="60">
        <v>21</v>
      </c>
      <c r="F15" s="65"/>
      <c r="G15" s="66"/>
      <c r="H15" s="20">
        <f t="shared" si="2"/>
        <v>9.5</v>
      </c>
      <c r="I15" s="67"/>
      <c r="J15" s="67"/>
      <c r="K15" s="20"/>
      <c r="L15" s="68">
        <f t="shared" si="1"/>
        <v>1862</v>
      </c>
      <c r="M15" s="69"/>
    </row>
    <row r="16" spans="1:13" ht="25.5" customHeight="1" x14ac:dyDescent="0.4">
      <c r="A16" s="49"/>
      <c r="B16" s="70"/>
      <c r="C16" s="59" t="s">
        <v>70</v>
      </c>
      <c r="D16" s="60">
        <v>13</v>
      </c>
      <c r="E16" s="60">
        <v>21</v>
      </c>
      <c r="F16" s="65"/>
      <c r="G16" s="66"/>
      <c r="H16" s="20">
        <f t="shared" si="2"/>
        <v>8</v>
      </c>
      <c r="I16" s="67"/>
      <c r="J16" s="67"/>
      <c r="K16" s="20"/>
      <c r="L16" s="68">
        <f t="shared" si="1"/>
        <v>1568</v>
      </c>
      <c r="M16" s="69"/>
    </row>
    <row r="17" spans="1:13" ht="25.5" customHeight="1" x14ac:dyDescent="0.4">
      <c r="A17" s="49"/>
      <c r="B17" s="70"/>
      <c r="C17" s="59" t="s">
        <v>88</v>
      </c>
      <c r="D17" s="60">
        <v>11.5</v>
      </c>
      <c r="E17" s="60">
        <v>21</v>
      </c>
      <c r="F17" s="65"/>
      <c r="G17" s="66"/>
      <c r="H17" s="20">
        <f t="shared" si="2"/>
        <v>9.5</v>
      </c>
      <c r="I17" s="67"/>
      <c r="J17" s="67"/>
      <c r="K17" s="20"/>
      <c r="L17" s="68">
        <f t="shared" si="1"/>
        <v>1862</v>
      </c>
      <c r="M17" s="69"/>
    </row>
    <row r="18" spans="1:13" ht="25.5" customHeight="1" x14ac:dyDescent="0.4">
      <c r="A18" s="49"/>
      <c r="B18" s="70"/>
      <c r="C18" s="59" t="s">
        <v>98</v>
      </c>
      <c r="D18" s="60">
        <v>9</v>
      </c>
      <c r="E18" s="60">
        <v>14</v>
      </c>
      <c r="F18" s="65"/>
      <c r="G18" s="66"/>
      <c r="H18" s="20">
        <f t="shared" si="2"/>
        <v>5</v>
      </c>
      <c r="I18" s="67"/>
      <c r="J18" s="67"/>
      <c r="K18" s="20"/>
      <c r="L18" s="68">
        <f t="shared" si="1"/>
        <v>980</v>
      </c>
      <c r="M18" s="69"/>
    </row>
    <row r="19" spans="1:13" ht="25.5" customHeight="1" x14ac:dyDescent="0.4">
      <c r="A19" s="50"/>
      <c r="B19" s="70"/>
      <c r="C19" s="59"/>
      <c r="D19" s="60">
        <v>18</v>
      </c>
      <c r="E19" s="60">
        <v>21</v>
      </c>
      <c r="F19" s="65"/>
      <c r="G19" s="66"/>
      <c r="H19" s="20">
        <f t="shared" si="2"/>
        <v>3</v>
      </c>
      <c r="I19" s="67"/>
      <c r="J19" s="67"/>
      <c r="K19" s="20"/>
      <c r="L19" s="68">
        <f t="shared" si="1"/>
        <v>588</v>
      </c>
      <c r="M19" s="69"/>
    </row>
    <row r="20" spans="1:13" ht="25.5" customHeight="1" x14ac:dyDescent="0.4">
      <c r="A20" s="49"/>
      <c r="B20" s="70"/>
      <c r="C20" s="59" t="s">
        <v>99</v>
      </c>
      <c r="D20" s="60">
        <v>9</v>
      </c>
      <c r="E20" s="60">
        <v>13</v>
      </c>
      <c r="F20" s="65"/>
      <c r="G20" s="66"/>
      <c r="H20" s="20">
        <f t="shared" si="2"/>
        <v>4</v>
      </c>
      <c r="I20" s="67"/>
      <c r="J20" s="67"/>
      <c r="K20" s="20"/>
      <c r="L20" s="68">
        <f t="shared" si="1"/>
        <v>784</v>
      </c>
      <c r="M20" s="69"/>
    </row>
    <row r="21" spans="1:13" ht="25.5" customHeight="1" x14ac:dyDescent="0.45">
      <c r="A21" s="49"/>
      <c r="B21" s="70"/>
      <c r="C21" s="59"/>
      <c r="D21" s="60">
        <v>18</v>
      </c>
      <c r="E21" s="60">
        <v>21</v>
      </c>
      <c r="F21" s="65"/>
      <c r="G21" s="66"/>
      <c r="H21" s="20">
        <f t="shared" si="2"/>
        <v>3</v>
      </c>
      <c r="I21" s="67"/>
      <c r="J21" s="67"/>
      <c r="K21" s="20"/>
      <c r="L21" s="68">
        <f t="shared" si="1"/>
        <v>588</v>
      </c>
      <c r="M21" s="71"/>
    </row>
    <row r="22" spans="1:13" ht="25.5" customHeight="1" x14ac:dyDescent="0.45">
      <c r="A22" s="49"/>
      <c r="B22" s="70"/>
      <c r="C22" s="59" t="s">
        <v>101</v>
      </c>
      <c r="D22" s="60">
        <v>11.5</v>
      </c>
      <c r="E22" s="60">
        <v>21.5</v>
      </c>
      <c r="F22" s="65"/>
      <c r="G22" s="66"/>
      <c r="H22" s="20">
        <f t="shared" si="2"/>
        <v>10</v>
      </c>
      <c r="I22" s="67"/>
      <c r="J22" s="67"/>
      <c r="K22" s="20"/>
      <c r="L22" s="68">
        <f t="shared" si="1"/>
        <v>1960</v>
      </c>
      <c r="M22" s="71"/>
    </row>
    <row r="23" spans="1:13" ht="25.5" customHeight="1" x14ac:dyDescent="0.4">
      <c r="A23" s="49"/>
      <c r="B23" s="70"/>
      <c r="C23" s="59"/>
      <c r="D23" s="60"/>
      <c r="E23" s="60"/>
      <c r="F23" s="65"/>
      <c r="G23" s="66"/>
      <c r="H23" s="20"/>
      <c r="I23" s="67"/>
      <c r="J23" s="67"/>
      <c r="K23" s="20"/>
      <c r="L23" s="68"/>
      <c r="M23" s="72"/>
    </row>
    <row r="24" spans="1:13" ht="25.5" customHeight="1" x14ac:dyDescent="0.4">
      <c r="A24" s="49"/>
      <c r="B24" s="70"/>
      <c r="C24" s="59"/>
      <c r="D24" s="60"/>
      <c r="E24" s="60"/>
      <c r="F24" s="65"/>
      <c r="G24" s="66"/>
      <c r="H24" s="20"/>
      <c r="I24" s="67"/>
      <c r="J24" s="67"/>
      <c r="K24" s="20"/>
      <c r="L24" s="68"/>
      <c r="M24" s="69"/>
    </row>
    <row r="25" spans="1:13" ht="25.5" customHeight="1" x14ac:dyDescent="0.4">
      <c r="A25" s="49"/>
      <c r="B25" s="70"/>
      <c r="C25" s="59"/>
      <c r="D25" s="60"/>
      <c r="E25" s="60"/>
      <c r="F25" s="65"/>
      <c r="G25" s="66"/>
      <c r="H25" s="20"/>
      <c r="I25" s="67"/>
      <c r="J25" s="67"/>
      <c r="K25" s="20"/>
      <c r="L25" s="68"/>
      <c r="M25" s="69"/>
    </row>
    <row r="26" spans="1:13" ht="25.5" customHeight="1" x14ac:dyDescent="0.4">
      <c r="A26" s="49"/>
      <c r="B26" s="70"/>
      <c r="C26" s="59"/>
      <c r="D26" s="60"/>
      <c r="E26" s="60"/>
      <c r="F26" s="65"/>
      <c r="G26" s="66"/>
      <c r="H26" s="20"/>
      <c r="I26" s="67"/>
      <c r="J26" s="67"/>
      <c r="K26" s="20"/>
      <c r="L26" s="68"/>
      <c r="M26" s="69"/>
    </row>
    <row r="27" spans="1:13" ht="25.5" customHeight="1" x14ac:dyDescent="0.4">
      <c r="A27" s="49"/>
      <c r="B27" s="23"/>
      <c r="C27" s="59"/>
      <c r="D27" s="60"/>
      <c r="E27" s="60"/>
      <c r="F27" s="65"/>
      <c r="G27" s="66"/>
      <c r="H27" s="20"/>
      <c r="I27" s="73"/>
      <c r="J27" s="73"/>
      <c r="K27" s="20"/>
      <c r="L27" s="68"/>
      <c r="M27" s="69"/>
    </row>
    <row r="28" spans="1:13" ht="25.5" customHeight="1" x14ac:dyDescent="0.4">
      <c r="A28" s="49"/>
      <c r="B28" s="23"/>
      <c r="C28" s="59"/>
      <c r="D28" s="60"/>
      <c r="E28" s="60"/>
      <c r="F28" s="65"/>
      <c r="G28" s="66"/>
      <c r="H28" s="20"/>
      <c r="I28" s="26"/>
      <c r="J28" s="26"/>
      <c r="K28" s="20"/>
      <c r="L28" s="68"/>
      <c r="M28" s="69"/>
    </row>
    <row r="29" spans="1:13" ht="25.5" customHeight="1" x14ac:dyDescent="0.4">
      <c r="A29" s="49"/>
      <c r="B29" s="23"/>
      <c r="C29" s="59"/>
      <c r="D29" s="60"/>
      <c r="E29" s="60"/>
      <c r="F29" s="65"/>
      <c r="G29" s="66"/>
      <c r="H29" s="20"/>
      <c r="I29" s="26"/>
      <c r="J29" s="26"/>
      <c r="K29" s="20"/>
      <c r="L29" s="68"/>
      <c r="M29" s="69"/>
    </row>
    <row r="30" spans="1:13" ht="25.5" customHeight="1" x14ac:dyDescent="0.4">
      <c r="A30" s="49"/>
      <c r="B30" s="23"/>
      <c r="C30" s="59"/>
      <c r="D30" s="60"/>
      <c r="E30" s="60"/>
      <c r="F30" s="65"/>
      <c r="G30" s="66"/>
      <c r="H30" s="20"/>
      <c r="I30" s="26"/>
      <c r="J30" s="26"/>
      <c r="K30" s="20"/>
      <c r="L30" s="68"/>
      <c r="M30" s="69"/>
    </row>
    <row r="31" spans="1:13" ht="25.5" customHeight="1" x14ac:dyDescent="0.4">
      <c r="A31" s="49"/>
      <c r="B31" s="23"/>
      <c r="C31" s="59"/>
      <c r="D31" s="60"/>
      <c r="E31" s="60"/>
      <c r="F31" s="65"/>
      <c r="G31" s="66"/>
      <c r="H31" s="20"/>
      <c r="I31" s="26"/>
      <c r="J31" s="26"/>
      <c r="K31" s="20"/>
      <c r="L31" s="68"/>
      <c r="M31" s="21"/>
    </row>
    <row r="32" spans="1:13" ht="25.5" customHeight="1" x14ac:dyDescent="0.4">
      <c r="A32" s="49"/>
      <c r="B32" s="23"/>
      <c r="C32" s="59"/>
      <c r="D32" s="60"/>
      <c r="E32" s="60"/>
      <c r="F32" s="65"/>
      <c r="G32" s="66"/>
      <c r="H32" s="20"/>
      <c r="I32" s="26"/>
      <c r="J32" s="26"/>
      <c r="K32" s="20"/>
      <c r="L32" s="68"/>
      <c r="M32" s="21"/>
    </row>
    <row r="33" spans="1:13" ht="25.5" customHeight="1" x14ac:dyDescent="0.4">
      <c r="A33" s="49"/>
      <c r="B33" s="23"/>
      <c r="C33" s="59"/>
      <c r="D33" s="60"/>
      <c r="E33" s="60"/>
      <c r="F33" s="65"/>
      <c r="G33" s="66"/>
      <c r="H33" s="20"/>
      <c r="I33" s="26"/>
      <c r="J33" s="26"/>
      <c r="K33" s="20"/>
      <c r="L33" s="68"/>
      <c r="M33" s="21"/>
    </row>
    <row r="34" spans="1:13" ht="25.5" customHeight="1" x14ac:dyDescent="0.4">
      <c r="A34" s="49"/>
      <c r="B34" s="23"/>
      <c r="C34" s="75"/>
      <c r="D34" s="60"/>
      <c r="E34" s="60"/>
      <c r="F34" s="17"/>
      <c r="G34" s="18"/>
      <c r="H34" s="20"/>
      <c r="I34" s="26"/>
      <c r="J34" s="26"/>
      <c r="K34" s="20"/>
      <c r="L34" s="68"/>
      <c r="M34" s="21"/>
    </row>
    <row r="35" spans="1:13" ht="25.5" customHeight="1" x14ac:dyDescent="0.4">
      <c r="A35" s="49"/>
      <c r="B35" s="23"/>
      <c r="C35" s="75"/>
      <c r="D35" s="60"/>
      <c r="E35" s="60"/>
      <c r="F35" s="17"/>
      <c r="G35" s="18"/>
      <c r="H35" s="20"/>
      <c r="I35" s="26"/>
      <c r="J35" s="26"/>
      <c r="K35" s="20"/>
      <c r="L35" s="68"/>
      <c r="M35" s="21"/>
    </row>
    <row r="36" spans="1:13" ht="25.5" customHeight="1" x14ac:dyDescent="0.4">
      <c r="A36" s="49"/>
      <c r="B36" s="23"/>
      <c r="C36" s="75"/>
      <c r="D36" s="60"/>
      <c r="E36" s="60"/>
      <c r="F36" s="17"/>
      <c r="G36" s="18"/>
      <c r="H36" s="20"/>
      <c r="I36" s="26"/>
      <c r="J36" s="26"/>
      <c r="K36" s="20"/>
      <c r="L36" s="68"/>
      <c r="M36" s="21"/>
    </row>
    <row r="37" spans="1:13" ht="25.5" customHeight="1" x14ac:dyDescent="0.4">
      <c r="A37" s="49"/>
      <c r="B37" s="23"/>
      <c r="C37" s="16"/>
      <c r="D37" s="60"/>
      <c r="E37" s="60"/>
      <c r="F37" s="17"/>
      <c r="G37" s="18"/>
      <c r="H37" s="20"/>
      <c r="I37" s="26"/>
      <c r="J37" s="26"/>
      <c r="K37" s="20"/>
      <c r="L37" s="68"/>
      <c r="M37" s="21"/>
    </row>
    <row r="38" spans="1:13" ht="25.5" customHeight="1" thickBot="1" x14ac:dyDescent="0.45">
      <c r="A38" s="49"/>
      <c r="B38" s="23"/>
      <c r="C38" s="16"/>
      <c r="D38" s="60"/>
      <c r="E38" s="60"/>
      <c r="F38" s="17"/>
      <c r="G38" s="18"/>
      <c r="H38" s="20"/>
      <c r="I38" s="26"/>
      <c r="J38" s="26"/>
      <c r="K38" s="20"/>
      <c r="L38" s="68"/>
      <c r="M38" s="21"/>
    </row>
    <row r="39" spans="1:13" ht="49" customHeight="1" thickTop="1" thickBot="1" x14ac:dyDescent="0.45">
      <c r="A39" s="51"/>
      <c r="B39" s="27"/>
      <c r="C39" s="28" t="s">
        <v>22</v>
      </c>
      <c r="D39" s="106" t="s">
        <v>38</v>
      </c>
      <c r="E39" s="107"/>
      <c r="F39" s="29"/>
      <c r="G39" s="30"/>
      <c r="H39" s="31">
        <f>SUM(H7:H38)</f>
        <v>117</v>
      </c>
      <c r="I39" s="31"/>
      <c r="J39" s="31"/>
      <c r="K39" s="31"/>
      <c r="L39" s="86">
        <f>SUM(L7:L38)</f>
        <v>22932</v>
      </c>
      <c r="M39" s="87" t="s">
        <v>102</v>
      </c>
    </row>
    <row r="40" spans="1:13" ht="32.5" customHeight="1" thickTop="1" thickBot="1" x14ac:dyDescent="0.45">
      <c r="A40" s="53"/>
      <c r="B40" s="33"/>
      <c r="C40" s="34"/>
      <c r="D40" s="35"/>
      <c r="E40" s="35"/>
      <c r="F40" s="35"/>
      <c r="G40" s="35"/>
      <c r="H40" s="35"/>
      <c r="I40" s="35"/>
      <c r="J40" s="35"/>
      <c r="K40" s="35"/>
      <c r="L40" s="88" t="s">
        <v>24</v>
      </c>
      <c r="M40" s="85">
        <f>SUM(L6:L38)</f>
        <v>22655</v>
      </c>
    </row>
    <row r="41" spans="1:13" s="6" customFormat="1" ht="23.25" customHeight="1" thickTop="1" thickBot="1" x14ac:dyDescent="0.45">
      <c r="A41" s="55" t="s">
        <v>25</v>
      </c>
      <c r="B41" s="56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8"/>
    </row>
  </sheetData>
  <mergeCells count="14">
    <mergeCell ref="J3:J4"/>
    <mergeCell ref="L3:L4"/>
    <mergeCell ref="D5:E5"/>
    <mergeCell ref="D39:E39"/>
    <mergeCell ref="A1:M1"/>
    <mergeCell ref="A2:A4"/>
    <mergeCell ref="B2:B4"/>
    <mergeCell ref="C2:C4"/>
    <mergeCell ref="D2:H2"/>
    <mergeCell ref="I2:J2"/>
    <mergeCell ref="K2:L2"/>
    <mergeCell ref="M2:M4"/>
    <mergeCell ref="F3:G3"/>
    <mergeCell ref="I3:I4"/>
  </mergeCells>
  <phoneticPr fontId="9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B3364-0651-42DA-A44B-200168621E7D}">
  <sheetPr>
    <pageSetUpPr fitToPage="1"/>
  </sheetPr>
  <dimension ref="A1:M41"/>
  <sheetViews>
    <sheetView zoomScale="40" zoomScaleNormal="40" workbookViewId="0">
      <selection activeCell="M6" sqref="M6"/>
    </sheetView>
  </sheetViews>
  <sheetFormatPr defaultColWidth="9" defaultRowHeight="17" x14ac:dyDescent="0.4"/>
  <cols>
    <col min="1" max="1" width="20.90625" style="3" customWidth="1"/>
    <col min="2" max="2" width="23.453125" style="3" customWidth="1"/>
    <col min="3" max="3" width="20.453125" style="3" customWidth="1"/>
    <col min="4" max="12" width="15.90625" style="3" customWidth="1"/>
    <col min="13" max="13" width="52.08984375" style="3" customWidth="1"/>
    <col min="14" max="16384" width="9" style="3"/>
  </cols>
  <sheetData>
    <row r="1" spans="1:13" ht="33.75" customHeight="1" x14ac:dyDescent="0.4">
      <c r="A1" s="108" t="str">
        <f>'0'!A1:M1</f>
        <v>育聖文理短期補習班  115年1月份出勤考核總表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10"/>
    </row>
    <row r="2" spans="1:13" ht="23.25" customHeight="1" x14ac:dyDescent="0.4">
      <c r="A2" s="111" t="s">
        <v>0</v>
      </c>
      <c r="B2" s="114" t="s">
        <v>1</v>
      </c>
      <c r="C2" s="117" t="s">
        <v>2</v>
      </c>
      <c r="D2" s="117" t="s">
        <v>3</v>
      </c>
      <c r="E2" s="118"/>
      <c r="F2" s="118"/>
      <c r="G2" s="118"/>
      <c r="H2" s="118"/>
      <c r="I2" s="119" t="s">
        <v>4</v>
      </c>
      <c r="J2" s="120"/>
      <c r="K2" s="117" t="s">
        <v>5</v>
      </c>
      <c r="L2" s="118"/>
      <c r="M2" s="121" t="s">
        <v>30</v>
      </c>
    </row>
    <row r="3" spans="1:13" ht="21" customHeight="1" x14ac:dyDescent="0.4">
      <c r="A3" s="112"/>
      <c r="B3" s="115"/>
      <c r="C3" s="101"/>
      <c r="D3" s="99" t="s">
        <v>7</v>
      </c>
      <c r="E3" s="99" t="s">
        <v>8</v>
      </c>
      <c r="F3" s="100" t="s">
        <v>9</v>
      </c>
      <c r="G3" s="101"/>
      <c r="H3" s="99" t="s">
        <v>10</v>
      </c>
      <c r="I3" s="100" t="s">
        <v>11</v>
      </c>
      <c r="J3" s="100" t="s">
        <v>12</v>
      </c>
      <c r="K3" s="1" t="s">
        <v>13</v>
      </c>
      <c r="L3" s="102" t="s">
        <v>14</v>
      </c>
      <c r="M3" s="122"/>
    </row>
    <row r="4" spans="1:13" ht="27" x14ac:dyDescent="0.4">
      <c r="A4" s="113"/>
      <c r="B4" s="116"/>
      <c r="C4" s="101"/>
      <c r="D4" s="4" t="s">
        <v>15</v>
      </c>
      <c r="E4" s="5" t="s">
        <v>15</v>
      </c>
      <c r="F4" s="2" t="s">
        <v>16</v>
      </c>
      <c r="G4" s="99" t="s">
        <v>31</v>
      </c>
      <c r="H4" s="99" t="s">
        <v>18</v>
      </c>
      <c r="I4" s="101"/>
      <c r="J4" s="101"/>
      <c r="K4" s="1" t="s">
        <v>19</v>
      </c>
      <c r="L4" s="103"/>
      <c r="M4" s="123"/>
    </row>
    <row r="5" spans="1:13" ht="23.5" customHeight="1" x14ac:dyDescent="0.4">
      <c r="A5" s="46" t="s">
        <v>32</v>
      </c>
      <c r="B5" s="7" t="s">
        <v>46</v>
      </c>
      <c r="C5" s="8"/>
      <c r="D5" s="104" t="s">
        <v>34</v>
      </c>
      <c r="E5" s="105"/>
      <c r="F5" s="9"/>
      <c r="G5" s="10"/>
      <c r="H5" s="11"/>
      <c r="I5" s="12"/>
      <c r="J5" s="12"/>
      <c r="K5" s="12"/>
      <c r="L5" s="13"/>
      <c r="M5" s="14" t="s">
        <v>50</v>
      </c>
    </row>
    <row r="6" spans="1:13" ht="25.5" customHeight="1" x14ac:dyDescent="0.4">
      <c r="A6" s="47"/>
      <c r="B6" s="15"/>
      <c r="C6" s="39" t="s">
        <v>21</v>
      </c>
      <c r="D6" s="40"/>
      <c r="E6" s="40"/>
      <c r="F6" s="41"/>
      <c r="G6" s="42"/>
      <c r="H6" s="43">
        <f t="shared" ref="H6:H16" si="0">E6-D6</f>
        <v>0</v>
      </c>
      <c r="I6" s="44"/>
      <c r="J6" s="44"/>
      <c r="K6" s="43"/>
      <c r="L6" s="45">
        <v>-277</v>
      </c>
      <c r="M6" s="63" t="s">
        <v>47</v>
      </c>
    </row>
    <row r="7" spans="1:13" ht="25.5" customHeight="1" x14ac:dyDescent="0.4">
      <c r="A7" s="48"/>
      <c r="B7" s="64"/>
      <c r="C7" s="59">
        <v>46024</v>
      </c>
      <c r="D7" s="60">
        <v>15.5</v>
      </c>
      <c r="E7" s="60">
        <v>21</v>
      </c>
      <c r="F7" s="65"/>
      <c r="G7" s="66"/>
      <c r="H7" s="20">
        <f>E7-D7</f>
        <v>5.5</v>
      </c>
      <c r="I7" s="67"/>
      <c r="J7" s="67"/>
      <c r="K7" s="20"/>
      <c r="L7" s="68">
        <f>196*H7</f>
        <v>1078</v>
      </c>
      <c r="M7" s="69"/>
    </row>
    <row r="8" spans="1:13" ht="25.5" customHeight="1" x14ac:dyDescent="0.4">
      <c r="A8" s="22"/>
      <c r="B8" s="64"/>
      <c r="C8" s="59">
        <v>46027</v>
      </c>
      <c r="D8" s="60">
        <v>15.5</v>
      </c>
      <c r="E8" s="60">
        <v>18</v>
      </c>
      <c r="F8" s="65"/>
      <c r="G8" s="66"/>
      <c r="H8" s="20">
        <f>E8-D8</f>
        <v>2.5</v>
      </c>
      <c r="I8" s="67"/>
      <c r="J8" s="67"/>
      <c r="K8" s="20"/>
      <c r="L8" s="68">
        <f t="shared" ref="L8:L33" si="1">196*H8</f>
        <v>490</v>
      </c>
      <c r="M8" s="72"/>
    </row>
    <row r="9" spans="1:13" ht="25.5" customHeight="1" x14ac:dyDescent="0.4">
      <c r="A9" s="48"/>
      <c r="B9" s="64"/>
      <c r="C9" s="59">
        <v>46028</v>
      </c>
      <c r="D9" s="60">
        <v>18</v>
      </c>
      <c r="E9" s="60">
        <v>21</v>
      </c>
      <c r="F9" s="65"/>
      <c r="G9" s="66"/>
      <c r="H9" s="20">
        <f t="shared" si="0"/>
        <v>3</v>
      </c>
      <c r="I9" s="67"/>
      <c r="J9" s="67"/>
      <c r="K9" s="20"/>
      <c r="L9" s="68">
        <f t="shared" si="1"/>
        <v>588</v>
      </c>
      <c r="M9" s="69"/>
    </row>
    <row r="10" spans="1:13" ht="25.5" customHeight="1" x14ac:dyDescent="0.4">
      <c r="A10" s="49"/>
      <c r="B10" s="70"/>
      <c r="C10" s="59">
        <v>46029</v>
      </c>
      <c r="D10" s="60">
        <v>15</v>
      </c>
      <c r="E10" s="60">
        <v>20.5</v>
      </c>
      <c r="F10" s="65"/>
      <c r="G10" s="66"/>
      <c r="H10" s="20">
        <f t="shared" si="0"/>
        <v>5.5</v>
      </c>
      <c r="I10" s="67"/>
      <c r="J10" s="67"/>
      <c r="K10" s="20"/>
      <c r="L10" s="68">
        <f t="shared" si="1"/>
        <v>1078</v>
      </c>
      <c r="M10" s="69"/>
    </row>
    <row r="11" spans="1:13" ht="25.5" customHeight="1" x14ac:dyDescent="0.4">
      <c r="A11" s="49"/>
      <c r="B11" s="70"/>
      <c r="C11" s="59">
        <v>46030</v>
      </c>
      <c r="D11" s="60">
        <v>20</v>
      </c>
      <c r="E11" s="60">
        <v>21</v>
      </c>
      <c r="F11" s="65"/>
      <c r="G11" s="66"/>
      <c r="H11" s="20">
        <f t="shared" si="0"/>
        <v>1</v>
      </c>
      <c r="I11" s="67"/>
      <c r="J11" s="67"/>
      <c r="K11" s="20"/>
      <c r="L11" s="68">
        <f t="shared" si="1"/>
        <v>196</v>
      </c>
      <c r="M11" s="69"/>
    </row>
    <row r="12" spans="1:13" ht="25.5" customHeight="1" x14ac:dyDescent="0.45">
      <c r="A12" s="49"/>
      <c r="B12" s="70"/>
      <c r="C12" s="59">
        <v>46031</v>
      </c>
      <c r="D12" s="60">
        <v>15.5</v>
      </c>
      <c r="E12" s="60">
        <v>22</v>
      </c>
      <c r="F12" s="65"/>
      <c r="G12" s="66"/>
      <c r="H12" s="20">
        <f t="shared" si="0"/>
        <v>6.5</v>
      </c>
      <c r="I12" s="67"/>
      <c r="J12" s="67"/>
      <c r="K12" s="20"/>
      <c r="L12" s="68">
        <f t="shared" si="1"/>
        <v>1274</v>
      </c>
      <c r="M12" s="71"/>
    </row>
    <row r="13" spans="1:13" ht="25.5" customHeight="1" x14ac:dyDescent="0.4">
      <c r="A13" s="49"/>
      <c r="B13" s="70"/>
      <c r="C13" s="59">
        <v>46034</v>
      </c>
      <c r="D13" s="60">
        <v>15.5</v>
      </c>
      <c r="E13" s="60">
        <v>18</v>
      </c>
      <c r="F13" s="65"/>
      <c r="G13" s="66"/>
      <c r="H13" s="20">
        <f t="shared" si="0"/>
        <v>2.5</v>
      </c>
      <c r="I13" s="67"/>
      <c r="J13" s="67"/>
      <c r="K13" s="20"/>
      <c r="L13" s="68">
        <f t="shared" si="1"/>
        <v>490</v>
      </c>
      <c r="M13" s="69"/>
    </row>
    <row r="14" spans="1:13" ht="25.5" customHeight="1" x14ac:dyDescent="0.4">
      <c r="A14" s="49"/>
      <c r="B14" s="70"/>
      <c r="C14" s="59">
        <v>46035</v>
      </c>
      <c r="D14" s="60">
        <v>18</v>
      </c>
      <c r="E14" s="60">
        <v>21</v>
      </c>
      <c r="F14" s="65"/>
      <c r="G14" s="66"/>
      <c r="H14" s="20">
        <f t="shared" si="0"/>
        <v>3</v>
      </c>
      <c r="I14" s="67"/>
      <c r="J14" s="67"/>
      <c r="K14" s="20"/>
      <c r="L14" s="68">
        <f t="shared" si="1"/>
        <v>588</v>
      </c>
      <c r="M14" s="69"/>
    </row>
    <row r="15" spans="1:13" ht="25.5" customHeight="1" x14ac:dyDescent="0.4">
      <c r="A15" s="49"/>
      <c r="B15" s="70"/>
      <c r="C15" s="59">
        <v>46037</v>
      </c>
      <c r="D15" s="60">
        <v>20</v>
      </c>
      <c r="E15" s="60">
        <v>21</v>
      </c>
      <c r="F15" s="65"/>
      <c r="G15" s="66"/>
      <c r="H15" s="20">
        <f t="shared" si="0"/>
        <v>1</v>
      </c>
      <c r="I15" s="67"/>
      <c r="J15" s="67"/>
      <c r="K15" s="20"/>
      <c r="L15" s="68">
        <f t="shared" si="1"/>
        <v>196</v>
      </c>
      <c r="M15" s="69"/>
    </row>
    <row r="16" spans="1:13" ht="25.5" customHeight="1" x14ac:dyDescent="0.4">
      <c r="A16" s="49"/>
      <c r="B16" s="70"/>
      <c r="C16" s="59">
        <v>46038</v>
      </c>
      <c r="D16" s="60">
        <v>16</v>
      </c>
      <c r="E16" s="60">
        <v>21</v>
      </c>
      <c r="F16" s="65"/>
      <c r="G16" s="66"/>
      <c r="H16" s="20">
        <f t="shared" si="0"/>
        <v>5</v>
      </c>
      <c r="I16" s="67"/>
      <c r="J16" s="67"/>
      <c r="K16" s="20"/>
      <c r="L16" s="68">
        <f t="shared" si="1"/>
        <v>980</v>
      </c>
      <c r="M16" s="69"/>
    </row>
    <row r="17" spans="1:13" ht="25.5" customHeight="1" x14ac:dyDescent="0.4">
      <c r="A17" s="49"/>
      <c r="B17" s="70"/>
      <c r="C17" s="59">
        <v>46042</v>
      </c>
      <c r="D17" s="60">
        <v>14</v>
      </c>
      <c r="E17" s="60">
        <v>19.5</v>
      </c>
      <c r="F17" s="65"/>
      <c r="G17" s="66"/>
      <c r="H17" s="20">
        <f t="shared" ref="H17:H25" si="2">E17-D17</f>
        <v>5.5</v>
      </c>
      <c r="I17" s="67"/>
      <c r="J17" s="67"/>
      <c r="K17" s="20"/>
      <c r="L17" s="68">
        <f t="shared" si="1"/>
        <v>1078</v>
      </c>
      <c r="M17" s="69"/>
    </row>
    <row r="18" spans="1:13" ht="25.5" customHeight="1" x14ac:dyDescent="0.4">
      <c r="A18" s="49"/>
      <c r="B18" s="70"/>
      <c r="C18" s="59">
        <v>46049</v>
      </c>
      <c r="D18" s="60">
        <v>18</v>
      </c>
      <c r="E18" s="60">
        <v>21</v>
      </c>
      <c r="F18" s="65"/>
      <c r="G18" s="66"/>
      <c r="H18" s="20">
        <f t="shared" si="2"/>
        <v>3</v>
      </c>
      <c r="I18" s="67"/>
      <c r="J18" s="67"/>
      <c r="K18" s="20"/>
      <c r="L18" s="68">
        <f t="shared" si="1"/>
        <v>588</v>
      </c>
      <c r="M18" s="69"/>
    </row>
    <row r="19" spans="1:13" ht="25.5" customHeight="1" x14ac:dyDescent="0.4">
      <c r="A19" s="50"/>
      <c r="B19" s="70"/>
      <c r="C19" s="59"/>
      <c r="D19" s="60"/>
      <c r="E19" s="60"/>
      <c r="F19" s="65"/>
      <c r="G19" s="66"/>
      <c r="H19" s="20"/>
      <c r="I19" s="67"/>
      <c r="J19" s="67"/>
      <c r="K19" s="20"/>
      <c r="L19" s="68"/>
      <c r="M19" s="69"/>
    </row>
    <row r="20" spans="1:13" ht="25.5" customHeight="1" x14ac:dyDescent="0.4">
      <c r="A20" s="49"/>
      <c r="B20" s="70"/>
      <c r="C20" s="59"/>
      <c r="D20" s="60"/>
      <c r="E20" s="60"/>
      <c r="F20" s="65"/>
      <c r="G20" s="66"/>
      <c r="H20" s="20"/>
      <c r="I20" s="67"/>
      <c r="J20" s="67"/>
      <c r="K20" s="20"/>
      <c r="L20" s="68"/>
      <c r="M20" s="69"/>
    </row>
    <row r="21" spans="1:13" ht="25.5" customHeight="1" x14ac:dyDescent="0.45">
      <c r="A21" s="49"/>
      <c r="B21" s="70"/>
      <c r="C21" s="59"/>
      <c r="D21" s="60"/>
      <c r="E21" s="60"/>
      <c r="F21" s="65"/>
      <c r="G21" s="66"/>
      <c r="H21" s="20"/>
      <c r="I21" s="67"/>
      <c r="J21" s="67"/>
      <c r="K21" s="20"/>
      <c r="L21" s="68"/>
      <c r="M21" s="71"/>
    </row>
    <row r="22" spans="1:13" ht="25.5" customHeight="1" x14ac:dyDescent="0.45">
      <c r="A22" s="49"/>
      <c r="B22" s="70"/>
      <c r="C22" s="59"/>
      <c r="D22" s="60"/>
      <c r="E22" s="60"/>
      <c r="F22" s="65"/>
      <c r="G22" s="66"/>
      <c r="H22" s="20"/>
      <c r="I22" s="67"/>
      <c r="J22" s="67"/>
      <c r="K22" s="20"/>
      <c r="L22" s="68"/>
      <c r="M22" s="71"/>
    </row>
    <row r="23" spans="1:13" ht="25.5" customHeight="1" x14ac:dyDescent="0.4">
      <c r="A23" s="49"/>
      <c r="B23" s="70"/>
      <c r="C23" s="59"/>
      <c r="D23" s="60"/>
      <c r="E23" s="60"/>
      <c r="F23" s="65"/>
      <c r="G23" s="66"/>
      <c r="H23" s="20"/>
      <c r="I23" s="67"/>
      <c r="J23" s="67"/>
      <c r="K23" s="20"/>
      <c r="L23" s="68"/>
      <c r="M23" s="72"/>
    </row>
    <row r="24" spans="1:13" ht="25.5" customHeight="1" x14ac:dyDescent="0.4">
      <c r="A24" s="49"/>
      <c r="B24" s="70"/>
      <c r="C24" s="59"/>
      <c r="D24" s="60"/>
      <c r="E24" s="60"/>
      <c r="F24" s="65"/>
      <c r="G24" s="66"/>
      <c r="H24" s="20"/>
      <c r="I24" s="67"/>
      <c r="J24" s="67"/>
      <c r="K24" s="20"/>
      <c r="L24" s="68"/>
      <c r="M24" s="69"/>
    </row>
    <row r="25" spans="1:13" ht="25.5" customHeight="1" x14ac:dyDescent="0.4">
      <c r="A25" s="49"/>
      <c r="B25" s="70"/>
      <c r="C25" s="59"/>
      <c r="D25" s="60"/>
      <c r="E25" s="60"/>
      <c r="F25" s="65"/>
      <c r="G25" s="66"/>
      <c r="H25" s="20"/>
      <c r="I25" s="67"/>
      <c r="J25" s="67"/>
      <c r="K25" s="20"/>
      <c r="L25" s="68"/>
      <c r="M25" s="69"/>
    </row>
    <row r="26" spans="1:13" ht="25.5" customHeight="1" x14ac:dyDescent="0.4">
      <c r="A26" s="49"/>
      <c r="B26" s="70"/>
      <c r="C26" s="59"/>
      <c r="D26" s="60"/>
      <c r="E26" s="60"/>
      <c r="F26" s="65"/>
      <c r="G26" s="66"/>
      <c r="H26" s="20"/>
      <c r="I26" s="67"/>
      <c r="J26" s="67"/>
      <c r="K26" s="20"/>
      <c r="L26" s="68"/>
      <c r="M26" s="69"/>
    </row>
    <row r="27" spans="1:13" ht="25.5" customHeight="1" x14ac:dyDescent="0.4">
      <c r="A27" s="49"/>
      <c r="B27" s="23"/>
      <c r="C27" s="59"/>
      <c r="D27" s="60"/>
      <c r="E27" s="60"/>
      <c r="F27" s="65"/>
      <c r="G27" s="66"/>
      <c r="H27" s="20"/>
      <c r="I27" s="73"/>
      <c r="J27" s="73"/>
      <c r="K27" s="20"/>
      <c r="L27" s="68"/>
      <c r="M27" s="69"/>
    </row>
    <row r="28" spans="1:13" ht="25.5" customHeight="1" x14ac:dyDescent="0.4">
      <c r="A28" s="49"/>
      <c r="B28" s="23"/>
      <c r="C28" s="59"/>
      <c r="D28" s="60"/>
      <c r="E28" s="60"/>
      <c r="F28" s="65"/>
      <c r="G28" s="66"/>
      <c r="H28" s="20"/>
      <c r="I28" s="26"/>
      <c r="J28" s="26"/>
      <c r="K28" s="20"/>
      <c r="L28" s="68"/>
      <c r="M28" s="69"/>
    </row>
    <row r="29" spans="1:13" ht="25.5" customHeight="1" x14ac:dyDescent="0.4">
      <c r="A29" s="49"/>
      <c r="B29" s="23"/>
      <c r="C29" s="59"/>
      <c r="D29" s="60"/>
      <c r="E29" s="60"/>
      <c r="F29" s="65"/>
      <c r="G29" s="66"/>
      <c r="H29" s="20"/>
      <c r="I29" s="26"/>
      <c r="J29" s="26"/>
      <c r="K29" s="20"/>
      <c r="L29" s="68"/>
      <c r="M29" s="69"/>
    </row>
    <row r="30" spans="1:13" ht="25.5" customHeight="1" x14ac:dyDescent="0.4">
      <c r="A30" s="49"/>
      <c r="B30" s="23"/>
      <c r="C30" s="59"/>
      <c r="D30" s="60"/>
      <c r="E30" s="60"/>
      <c r="F30" s="65"/>
      <c r="G30" s="66"/>
      <c r="H30" s="20"/>
      <c r="I30" s="26"/>
      <c r="J30" s="26"/>
      <c r="K30" s="20"/>
      <c r="L30" s="68"/>
      <c r="M30" s="69"/>
    </row>
    <row r="31" spans="1:13" ht="25.5" customHeight="1" x14ac:dyDescent="0.4">
      <c r="A31" s="49"/>
      <c r="B31" s="23"/>
      <c r="C31" s="59"/>
      <c r="D31" s="60"/>
      <c r="E31" s="60"/>
      <c r="F31" s="65"/>
      <c r="G31" s="66"/>
      <c r="H31" s="20"/>
      <c r="I31" s="26"/>
      <c r="J31" s="26"/>
      <c r="K31" s="20"/>
      <c r="L31" s="68"/>
      <c r="M31" s="21"/>
    </row>
    <row r="32" spans="1:13" ht="25.5" customHeight="1" x14ac:dyDescent="0.4">
      <c r="A32" s="49"/>
      <c r="B32" s="23"/>
      <c r="C32" s="59"/>
      <c r="D32" s="60"/>
      <c r="E32" s="60"/>
      <c r="F32" s="65"/>
      <c r="G32" s="66"/>
      <c r="H32" s="20"/>
      <c r="I32" s="26"/>
      <c r="J32" s="26"/>
      <c r="K32" s="20"/>
      <c r="L32" s="68"/>
      <c r="M32" s="21"/>
    </row>
    <row r="33" spans="1:13" ht="25.5" customHeight="1" x14ac:dyDescent="0.4">
      <c r="A33" s="49"/>
      <c r="B33" s="23"/>
      <c r="C33" s="59"/>
      <c r="D33" s="60"/>
      <c r="E33" s="60"/>
      <c r="F33" s="65"/>
      <c r="G33" s="66"/>
      <c r="H33" s="20"/>
      <c r="I33" s="26"/>
      <c r="J33" s="26"/>
      <c r="K33" s="20"/>
      <c r="L33" s="68"/>
      <c r="M33" s="21"/>
    </row>
    <row r="34" spans="1:13" ht="25.5" customHeight="1" x14ac:dyDescent="0.4">
      <c r="A34" s="49"/>
      <c r="B34" s="23"/>
      <c r="C34" s="75"/>
      <c r="D34" s="60"/>
      <c r="E34" s="60"/>
      <c r="F34" s="17"/>
      <c r="G34" s="18"/>
      <c r="H34" s="20"/>
      <c r="I34" s="26"/>
      <c r="J34" s="26"/>
      <c r="K34" s="20"/>
      <c r="L34" s="68"/>
      <c r="M34" s="21"/>
    </row>
    <row r="35" spans="1:13" ht="25.5" customHeight="1" x14ac:dyDescent="0.4">
      <c r="A35" s="49"/>
      <c r="B35" s="23"/>
      <c r="C35" s="75"/>
      <c r="D35" s="60"/>
      <c r="E35" s="60"/>
      <c r="F35" s="17"/>
      <c r="G35" s="18"/>
      <c r="H35" s="20"/>
      <c r="I35" s="26"/>
      <c r="J35" s="26"/>
      <c r="K35" s="20"/>
      <c r="L35" s="68"/>
      <c r="M35" s="21"/>
    </row>
    <row r="36" spans="1:13" ht="25.5" customHeight="1" x14ac:dyDescent="0.4">
      <c r="A36" s="49"/>
      <c r="B36" s="23"/>
      <c r="C36" s="75"/>
      <c r="D36" s="60"/>
      <c r="E36" s="60"/>
      <c r="F36" s="17"/>
      <c r="G36" s="18"/>
      <c r="H36" s="20"/>
      <c r="I36" s="26"/>
      <c r="J36" s="26"/>
      <c r="K36" s="20"/>
      <c r="L36" s="68"/>
      <c r="M36" s="21"/>
    </row>
    <row r="37" spans="1:13" ht="25.5" customHeight="1" x14ac:dyDescent="0.4">
      <c r="A37" s="49"/>
      <c r="B37" s="23"/>
      <c r="C37" s="16"/>
      <c r="D37" s="60"/>
      <c r="E37" s="60"/>
      <c r="F37" s="17"/>
      <c r="G37" s="18"/>
      <c r="H37" s="20"/>
      <c r="I37" s="26"/>
      <c r="J37" s="26"/>
      <c r="K37" s="20"/>
      <c r="L37" s="68"/>
      <c r="M37" s="21"/>
    </row>
    <row r="38" spans="1:13" ht="25.5" customHeight="1" thickBot="1" x14ac:dyDescent="0.45">
      <c r="A38" s="49"/>
      <c r="B38" s="23"/>
      <c r="C38" s="16"/>
      <c r="D38" s="60"/>
      <c r="E38" s="60"/>
      <c r="F38" s="17"/>
      <c r="G38" s="18"/>
      <c r="H38" s="20"/>
      <c r="I38" s="26"/>
      <c r="J38" s="26"/>
      <c r="K38" s="20"/>
      <c r="L38" s="68"/>
      <c r="M38" s="21"/>
    </row>
    <row r="39" spans="1:13" ht="49" customHeight="1" x14ac:dyDescent="0.4">
      <c r="A39" s="51"/>
      <c r="B39" s="27"/>
      <c r="C39" s="28" t="s">
        <v>22</v>
      </c>
      <c r="D39" s="106" t="s">
        <v>38</v>
      </c>
      <c r="E39" s="107"/>
      <c r="F39" s="29"/>
      <c r="G39" s="30"/>
      <c r="H39" s="31">
        <f>SUM(H7:H38)</f>
        <v>44</v>
      </c>
      <c r="I39" s="31"/>
      <c r="J39" s="31"/>
      <c r="K39" s="31"/>
      <c r="L39" s="86">
        <f>SUM(L7:L38)</f>
        <v>8624</v>
      </c>
      <c r="M39" s="87" t="s">
        <v>56</v>
      </c>
    </row>
    <row r="40" spans="1:13" ht="32.5" customHeight="1" thickTop="1" thickBot="1" x14ac:dyDescent="0.45">
      <c r="A40" s="53"/>
      <c r="B40" s="33"/>
      <c r="C40" s="34"/>
      <c r="D40" s="35"/>
      <c r="E40" s="35"/>
      <c r="F40" s="35"/>
      <c r="G40" s="35"/>
      <c r="H40" s="35"/>
      <c r="I40" s="35"/>
      <c r="J40" s="35"/>
      <c r="K40" s="35"/>
      <c r="L40" s="88" t="s">
        <v>24</v>
      </c>
      <c r="M40" s="85">
        <f>SUM(L6:L38)</f>
        <v>8347</v>
      </c>
    </row>
    <row r="41" spans="1:13" s="6" customFormat="1" ht="23.25" customHeight="1" thickTop="1" thickBot="1" x14ac:dyDescent="0.45">
      <c r="A41" s="55" t="s">
        <v>25</v>
      </c>
      <c r="B41" s="56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8"/>
    </row>
  </sheetData>
  <mergeCells count="14">
    <mergeCell ref="J3:J4"/>
    <mergeCell ref="L3:L4"/>
    <mergeCell ref="D5:E5"/>
    <mergeCell ref="D39:E39"/>
    <mergeCell ref="A1:M1"/>
    <mergeCell ref="A2:A4"/>
    <mergeCell ref="B2:B4"/>
    <mergeCell ref="C2:C4"/>
    <mergeCell ref="D2:H2"/>
    <mergeCell ref="I2:J2"/>
    <mergeCell ref="K2:L2"/>
    <mergeCell ref="M2:M4"/>
    <mergeCell ref="F3:G3"/>
    <mergeCell ref="I3:I4"/>
  </mergeCells>
  <phoneticPr fontId="9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75A95-2EFA-485F-AADF-9DD22D9E16F1}">
  <sheetPr>
    <pageSetUpPr fitToPage="1"/>
  </sheetPr>
  <dimension ref="A1:M41"/>
  <sheetViews>
    <sheetView zoomScale="40" zoomScaleNormal="40" workbookViewId="0">
      <selection activeCell="M6" sqref="M6"/>
    </sheetView>
  </sheetViews>
  <sheetFormatPr defaultColWidth="9" defaultRowHeight="17" x14ac:dyDescent="0.4"/>
  <cols>
    <col min="1" max="1" width="20.90625" style="3" customWidth="1"/>
    <col min="2" max="2" width="23.453125" style="3" customWidth="1"/>
    <col min="3" max="3" width="20.453125" style="3" customWidth="1"/>
    <col min="4" max="12" width="15.90625" style="3" customWidth="1"/>
    <col min="13" max="13" width="52.08984375" style="3" customWidth="1"/>
    <col min="14" max="16384" width="9" style="3"/>
  </cols>
  <sheetData>
    <row r="1" spans="1:13" ht="33.75" customHeight="1" x14ac:dyDescent="0.4">
      <c r="A1" s="108" t="str">
        <f>'0'!A1:M1</f>
        <v>育聖文理短期補習班  115年1月份出勤考核總表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10"/>
    </row>
    <row r="2" spans="1:13" ht="23.25" customHeight="1" x14ac:dyDescent="0.4">
      <c r="A2" s="111" t="s">
        <v>0</v>
      </c>
      <c r="B2" s="114" t="s">
        <v>1</v>
      </c>
      <c r="C2" s="117" t="s">
        <v>2</v>
      </c>
      <c r="D2" s="117" t="s">
        <v>3</v>
      </c>
      <c r="E2" s="118"/>
      <c r="F2" s="118"/>
      <c r="G2" s="118"/>
      <c r="H2" s="118"/>
      <c r="I2" s="119" t="s">
        <v>4</v>
      </c>
      <c r="J2" s="120"/>
      <c r="K2" s="117" t="s">
        <v>5</v>
      </c>
      <c r="L2" s="118"/>
      <c r="M2" s="121" t="s">
        <v>30</v>
      </c>
    </row>
    <row r="3" spans="1:13" ht="21" customHeight="1" x14ac:dyDescent="0.4">
      <c r="A3" s="112"/>
      <c r="B3" s="115"/>
      <c r="C3" s="101"/>
      <c r="D3" s="99" t="s">
        <v>7</v>
      </c>
      <c r="E3" s="99" t="s">
        <v>8</v>
      </c>
      <c r="F3" s="100" t="s">
        <v>9</v>
      </c>
      <c r="G3" s="101"/>
      <c r="H3" s="99" t="s">
        <v>10</v>
      </c>
      <c r="I3" s="100" t="s">
        <v>11</v>
      </c>
      <c r="J3" s="100" t="s">
        <v>12</v>
      </c>
      <c r="K3" s="1" t="s">
        <v>13</v>
      </c>
      <c r="L3" s="102" t="s">
        <v>14</v>
      </c>
      <c r="M3" s="122"/>
    </row>
    <row r="4" spans="1:13" ht="27" x14ac:dyDescent="0.4">
      <c r="A4" s="113"/>
      <c r="B4" s="116"/>
      <c r="C4" s="101"/>
      <c r="D4" s="4" t="s">
        <v>15</v>
      </c>
      <c r="E4" s="5" t="s">
        <v>15</v>
      </c>
      <c r="F4" s="2" t="s">
        <v>16</v>
      </c>
      <c r="G4" s="99" t="s">
        <v>31</v>
      </c>
      <c r="H4" s="99" t="s">
        <v>18</v>
      </c>
      <c r="I4" s="101"/>
      <c r="J4" s="101"/>
      <c r="K4" s="1" t="s">
        <v>19</v>
      </c>
      <c r="L4" s="103"/>
      <c r="M4" s="123"/>
    </row>
    <row r="5" spans="1:13" ht="23.5" customHeight="1" x14ac:dyDescent="0.4">
      <c r="A5" s="46" t="s">
        <v>32</v>
      </c>
      <c r="B5" s="7" t="s">
        <v>48</v>
      </c>
      <c r="C5" s="8"/>
      <c r="D5" s="104" t="s">
        <v>34</v>
      </c>
      <c r="E5" s="105"/>
      <c r="F5" s="9"/>
      <c r="G5" s="10"/>
      <c r="H5" s="11"/>
      <c r="I5" s="12"/>
      <c r="J5" s="12"/>
      <c r="K5" s="12"/>
      <c r="L5" s="13"/>
      <c r="M5" s="14" t="s">
        <v>50</v>
      </c>
    </row>
    <row r="6" spans="1:13" ht="25.5" customHeight="1" x14ac:dyDescent="0.4">
      <c r="A6" s="47"/>
      <c r="B6" s="15" t="s">
        <v>49</v>
      </c>
      <c r="C6" s="39" t="s">
        <v>21</v>
      </c>
      <c r="D6" s="40"/>
      <c r="E6" s="40"/>
      <c r="F6" s="41"/>
      <c r="G6" s="42"/>
      <c r="H6" s="43">
        <f t="shared" ref="H6:H19" si="0">E6-D6</f>
        <v>0</v>
      </c>
      <c r="I6" s="44"/>
      <c r="J6" s="44"/>
      <c r="K6" s="43"/>
      <c r="L6" s="63">
        <f>-203</f>
        <v>-203</v>
      </c>
      <c r="M6" s="63" t="s">
        <v>52</v>
      </c>
    </row>
    <row r="7" spans="1:13" ht="25.5" customHeight="1" x14ac:dyDescent="0.4">
      <c r="A7" s="48"/>
      <c r="B7" s="64"/>
      <c r="C7" s="59">
        <v>46024</v>
      </c>
      <c r="D7" s="60">
        <v>15</v>
      </c>
      <c r="E7" s="60">
        <v>17.5</v>
      </c>
      <c r="F7" s="65"/>
      <c r="G7" s="66"/>
      <c r="H7" s="20">
        <f t="shared" si="0"/>
        <v>2.5</v>
      </c>
      <c r="I7" s="67"/>
      <c r="J7" s="67"/>
      <c r="K7" s="20"/>
      <c r="L7" s="68">
        <f>196*H7</f>
        <v>490</v>
      </c>
      <c r="M7" s="69"/>
    </row>
    <row r="8" spans="1:13" ht="25.5" customHeight="1" x14ac:dyDescent="0.4">
      <c r="A8" s="22"/>
      <c r="B8" s="64"/>
      <c r="C8" s="59"/>
      <c r="D8" s="60">
        <v>18</v>
      </c>
      <c r="E8" s="60">
        <v>21</v>
      </c>
      <c r="F8" s="65"/>
      <c r="G8" s="66"/>
      <c r="H8" s="20">
        <f t="shared" si="0"/>
        <v>3</v>
      </c>
      <c r="I8" s="67"/>
      <c r="J8" s="67"/>
      <c r="K8" s="20"/>
      <c r="L8" s="68">
        <f t="shared" ref="L8:L38" si="1">196*H8</f>
        <v>588</v>
      </c>
      <c r="M8" s="69"/>
    </row>
    <row r="9" spans="1:13" ht="25.5" customHeight="1" x14ac:dyDescent="0.4">
      <c r="A9" s="48"/>
      <c r="B9" s="64"/>
      <c r="C9" s="59">
        <v>46027</v>
      </c>
      <c r="D9" s="60">
        <v>18</v>
      </c>
      <c r="E9" s="60">
        <v>19.5</v>
      </c>
      <c r="F9" s="65"/>
      <c r="G9" s="66"/>
      <c r="H9" s="20">
        <f t="shared" si="0"/>
        <v>1.5</v>
      </c>
      <c r="I9" s="67"/>
      <c r="J9" s="67"/>
      <c r="K9" s="20"/>
      <c r="L9" s="68">
        <f t="shared" si="1"/>
        <v>294</v>
      </c>
      <c r="M9" s="69"/>
    </row>
    <row r="10" spans="1:13" ht="25.5" customHeight="1" x14ac:dyDescent="0.4">
      <c r="A10" s="49"/>
      <c r="B10" s="70"/>
      <c r="C10" s="59">
        <v>46028</v>
      </c>
      <c r="D10" s="60">
        <v>16.5</v>
      </c>
      <c r="E10" s="60">
        <v>17.5</v>
      </c>
      <c r="F10" s="65"/>
      <c r="G10" s="66"/>
      <c r="H10" s="20">
        <f t="shared" si="0"/>
        <v>1</v>
      </c>
      <c r="I10" s="67"/>
      <c r="J10" s="67"/>
      <c r="K10" s="20"/>
      <c r="L10" s="68">
        <f t="shared" si="1"/>
        <v>196</v>
      </c>
      <c r="M10" s="69"/>
    </row>
    <row r="11" spans="1:13" ht="25.5" customHeight="1" x14ac:dyDescent="0.4">
      <c r="A11" s="49"/>
      <c r="B11" s="70"/>
      <c r="C11" s="59"/>
      <c r="D11" s="60">
        <v>18</v>
      </c>
      <c r="E11" s="60">
        <v>21</v>
      </c>
      <c r="F11" s="65"/>
      <c r="G11" s="66"/>
      <c r="H11" s="20">
        <f t="shared" si="0"/>
        <v>3</v>
      </c>
      <c r="I11" s="67"/>
      <c r="J11" s="67"/>
      <c r="K11" s="20"/>
      <c r="L11" s="68">
        <f t="shared" si="1"/>
        <v>588</v>
      </c>
      <c r="M11" s="69"/>
    </row>
    <row r="12" spans="1:13" ht="25.5" customHeight="1" x14ac:dyDescent="0.4">
      <c r="A12" s="49"/>
      <c r="B12" s="70"/>
      <c r="C12" s="59">
        <v>46029</v>
      </c>
      <c r="D12" s="60">
        <v>18</v>
      </c>
      <c r="E12" s="60">
        <v>19.5</v>
      </c>
      <c r="F12" s="65"/>
      <c r="G12" s="66"/>
      <c r="H12" s="20">
        <f t="shared" si="0"/>
        <v>1.5</v>
      </c>
      <c r="I12" s="67"/>
      <c r="J12" s="67"/>
      <c r="K12" s="20"/>
      <c r="L12" s="68">
        <f t="shared" si="1"/>
        <v>294</v>
      </c>
      <c r="M12" s="69"/>
    </row>
    <row r="13" spans="1:13" ht="25.5" customHeight="1" x14ac:dyDescent="0.4">
      <c r="A13" s="49"/>
      <c r="B13" s="70"/>
      <c r="C13" s="59">
        <v>46030</v>
      </c>
      <c r="D13" s="60">
        <v>18</v>
      </c>
      <c r="E13" s="60">
        <v>19.5</v>
      </c>
      <c r="F13" s="65"/>
      <c r="G13" s="66"/>
      <c r="H13" s="20">
        <f t="shared" si="0"/>
        <v>1.5</v>
      </c>
      <c r="I13" s="67"/>
      <c r="J13" s="67"/>
      <c r="K13" s="20"/>
      <c r="L13" s="68">
        <f t="shared" si="1"/>
        <v>294</v>
      </c>
      <c r="M13" s="69"/>
    </row>
    <row r="14" spans="1:13" ht="25.5" customHeight="1" x14ac:dyDescent="0.4">
      <c r="A14" s="49"/>
      <c r="B14" s="70"/>
      <c r="C14" s="59">
        <v>46034</v>
      </c>
      <c r="D14" s="60">
        <v>18</v>
      </c>
      <c r="E14" s="60">
        <v>19.5</v>
      </c>
      <c r="F14" s="65"/>
      <c r="G14" s="66"/>
      <c r="H14" s="20">
        <f t="shared" si="0"/>
        <v>1.5</v>
      </c>
      <c r="I14" s="67"/>
      <c r="J14" s="67"/>
      <c r="K14" s="20"/>
      <c r="L14" s="68">
        <f t="shared" si="1"/>
        <v>294</v>
      </c>
      <c r="M14" s="69"/>
    </row>
    <row r="15" spans="1:13" ht="25.5" customHeight="1" x14ac:dyDescent="0.45">
      <c r="A15" s="49"/>
      <c r="B15" s="70"/>
      <c r="C15" s="59">
        <v>46035</v>
      </c>
      <c r="D15" s="60">
        <v>16.5</v>
      </c>
      <c r="E15" s="60">
        <v>17.5</v>
      </c>
      <c r="F15" s="65"/>
      <c r="G15" s="66"/>
      <c r="H15" s="20">
        <f t="shared" si="0"/>
        <v>1</v>
      </c>
      <c r="I15" s="67"/>
      <c r="J15" s="67"/>
      <c r="K15" s="20"/>
      <c r="L15" s="68">
        <f t="shared" si="1"/>
        <v>196</v>
      </c>
      <c r="M15" s="71"/>
    </row>
    <row r="16" spans="1:13" ht="25.5" customHeight="1" x14ac:dyDescent="0.45">
      <c r="A16" s="49"/>
      <c r="B16" s="70"/>
      <c r="C16" s="59"/>
      <c r="D16" s="60">
        <v>18</v>
      </c>
      <c r="E16" s="60">
        <v>21</v>
      </c>
      <c r="F16" s="65"/>
      <c r="G16" s="66"/>
      <c r="H16" s="20">
        <f t="shared" si="0"/>
        <v>3</v>
      </c>
      <c r="I16" s="67"/>
      <c r="J16" s="67"/>
      <c r="K16" s="20"/>
      <c r="L16" s="68">
        <f t="shared" si="1"/>
        <v>588</v>
      </c>
      <c r="M16" s="71"/>
    </row>
    <row r="17" spans="1:13" ht="25.5" customHeight="1" x14ac:dyDescent="0.4">
      <c r="A17" s="49"/>
      <c r="B17" s="70"/>
      <c r="C17" s="59">
        <v>46036</v>
      </c>
      <c r="D17" s="60">
        <v>18</v>
      </c>
      <c r="E17" s="60">
        <v>19.5</v>
      </c>
      <c r="F17" s="65"/>
      <c r="G17" s="66"/>
      <c r="H17" s="20">
        <f t="shared" si="0"/>
        <v>1.5</v>
      </c>
      <c r="I17" s="67"/>
      <c r="J17" s="67"/>
      <c r="K17" s="20"/>
      <c r="L17" s="68">
        <f t="shared" si="1"/>
        <v>294</v>
      </c>
      <c r="M17" s="72"/>
    </row>
    <row r="18" spans="1:13" ht="25.5" customHeight="1" x14ac:dyDescent="0.4">
      <c r="A18" s="49"/>
      <c r="B18" s="70"/>
      <c r="C18" s="59">
        <v>46037</v>
      </c>
      <c r="D18" s="60">
        <v>18</v>
      </c>
      <c r="E18" s="60">
        <v>19.5</v>
      </c>
      <c r="F18" s="65"/>
      <c r="G18" s="66"/>
      <c r="H18" s="20">
        <f t="shared" si="0"/>
        <v>1.5</v>
      </c>
      <c r="I18" s="67"/>
      <c r="J18" s="67"/>
      <c r="K18" s="20"/>
      <c r="L18" s="68">
        <f t="shared" si="1"/>
        <v>294</v>
      </c>
      <c r="M18" s="69"/>
    </row>
    <row r="19" spans="1:13" ht="25.5" customHeight="1" x14ac:dyDescent="0.4">
      <c r="A19" s="50"/>
      <c r="B19" s="70"/>
      <c r="C19" s="59">
        <v>46038</v>
      </c>
      <c r="D19" s="60">
        <v>15</v>
      </c>
      <c r="E19" s="60">
        <v>17.5</v>
      </c>
      <c r="F19" s="65"/>
      <c r="G19" s="66"/>
      <c r="H19" s="20">
        <f t="shared" si="0"/>
        <v>2.5</v>
      </c>
      <c r="I19" s="67"/>
      <c r="J19" s="67"/>
      <c r="K19" s="20"/>
      <c r="L19" s="68">
        <f t="shared" si="1"/>
        <v>490</v>
      </c>
      <c r="M19" s="69"/>
    </row>
    <row r="20" spans="1:13" ht="25.5" customHeight="1" x14ac:dyDescent="0.4">
      <c r="A20" s="49"/>
      <c r="B20" s="70"/>
      <c r="C20" s="59"/>
      <c r="D20" s="60">
        <v>18</v>
      </c>
      <c r="E20" s="60">
        <v>21</v>
      </c>
      <c r="F20" s="65"/>
      <c r="G20" s="66"/>
      <c r="H20" s="20">
        <f t="shared" ref="H20" si="2">E21-D21</f>
        <v>1.5</v>
      </c>
      <c r="I20" s="67"/>
      <c r="J20" s="67"/>
      <c r="K20" s="20"/>
      <c r="L20" s="68">
        <f t="shared" si="1"/>
        <v>294</v>
      </c>
      <c r="M20" s="69"/>
    </row>
    <row r="21" spans="1:13" ht="25.5" customHeight="1" x14ac:dyDescent="0.4">
      <c r="A21" s="49"/>
      <c r="B21" s="70"/>
      <c r="C21" s="59">
        <v>46041</v>
      </c>
      <c r="D21" s="60">
        <v>18</v>
      </c>
      <c r="E21" s="60">
        <v>19.5</v>
      </c>
      <c r="F21" s="65"/>
      <c r="G21" s="66"/>
      <c r="H21" s="20">
        <f t="shared" ref="H21:H38" si="3">E21-D21</f>
        <v>1.5</v>
      </c>
      <c r="I21" s="73"/>
      <c r="J21" s="73"/>
      <c r="K21" s="20"/>
      <c r="L21" s="68">
        <f t="shared" si="1"/>
        <v>294</v>
      </c>
      <c r="M21" s="69"/>
    </row>
    <row r="22" spans="1:13" ht="25.5" customHeight="1" x14ac:dyDescent="0.4">
      <c r="A22" s="49"/>
      <c r="B22" s="70"/>
      <c r="C22" s="59">
        <v>46042</v>
      </c>
      <c r="D22" s="60">
        <v>16.5</v>
      </c>
      <c r="E22" s="60">
        <v>17.5</v>
      </c>
      <c r="F22" s="65"/>
      <c r="G22" s="66"/>
      <c r="H22" s="20">
        <f t="shared" si="3"/>
        <v>1</v>
      </c>
      <c r="I22" s="26"/>
      <c r="J22" s="26"/>
      <c r="K22" s="20"/>
      <c r="L22" s="68">
        <f t="shared" si="1"/>
        <v>196</v>
      </c>
      <c r="M22" s="69"/>
    </row>
    <row r="23" spans="1:13" ht="25.5" customHeight="1" x14ac:dyDescent="0.4">
      <c r="A23" s="49"/>
      <c r="B23" s="70"/>
      <c r="C23" s="59"/>
      <c r="D23" s="60">
        <v>18</v>
      </c>
      <c r="E23" s="60">
        <v>21</v>
      </c>
      <c r="F23" s="65"/>
      <c r="G23" s="66"/>
      <c r="H23" s="20">
        <f t="shared" si="3"/>
        <v>3</v>
      </c>
      <c r="I23" s="26"/>
      <c r="J23" s="26"/>
      <c r="K23" s="20"/>
      <c r="L23" s="68">
        <f t="shared" si="1"/>
        <v>588</v>
      </c>
      <c r="M23" s="69"/>
    </row>
    <row r="24" spans="1:13" ht="25.5" customHeight="1" x14ac:dyDescent="0.4">
      <c r="A24" s="49"/>
      <c r="B24" s="70"/>
      <c r="C24" s="59">
        <v>46043</v>
      </c>
      <c r="D24" s="60">
        <v>18</v>
      </c>
      <c r="E24" s="60">
        <v>19.5</v>
      </c>
      <c r="F24" s="65"/>
      <c r="G24" s="66"/>
      <c r="H24" s="20">
        <f t="shared" si="3"/>
        <v>1.5</v>
      </c>
      <c r="I24" s="26"/>
      <c r="J24" s="26"/>
      <c r="K24" s="20"/>
      <c r="L24" s="68">
        <f t="shared" si="1"/>
        <v>294</v>
      </c>
      <c r="M24" s="69"/>
    </row>
    <row r="25" spans="1:13" ht="25.5" customHeight="1" x14ac:dyDescent="0.4">
      <c r="A25" s="49"/>
      <c r="B25" s="70"/>
      <c r="C25" s="59">
        <v>46044</v>
      </c>
      <c r="D25" s="60">
        <v>18</v>
      </c>
      <c r="E25" s="60">
        <v>19.5</v>
      </c>
      <c r="F25" s="65"/>
      <c r="G25" s="66"/>
      <c r="H25" s="20">
        <f t="shared" si="3"/>
        <v>1.5</v>
      </c>
      <c r="I25" s="26"/>
      <c r="J25" s="26"/>
      <c r="K25" s="20"/>
      <c r="L25" s="68">
        <f t="shared" si="1"/>
        <v>294</v>
      </c>
      <c r="M25" s="21"/>
    </row>
    <row r="26" spans="1:13" ht="25.5" customHeight="1" x14ac:dyDescent="0.4">
      <c r="A26" s="49"/>
      <c r="B26" s="70"/>
      <c r="C26" s="59">
        <v>46045</v>
      </c>
      <c r="D26" s="60">
        <v>15.5</v>
      </c>
      <c r="E26" s="60">
        <v>17.5</v>
      </c>
      <c r="F26" s="65"/>
      <c r="G26" s="66"/>
      <c r="H26" s="20">
        <f t="shared" si="3"/>
        <v>2</v>
      </c>
      <c r="I26" s="26"/>
      <c r="J26" s="26"/>
      <c r="K26" s="20"/>
      <c r="L26" s="68">
        <f t="shared" si="1"/>
        <v>392</v>
      </c>
      <c r="M26" s="21"/>
    </row>
    <row r="27" spans="1:13" ht="25.5" customHeight="1" x14ac:dyDescent="0.4">
      <c r="A27" s="49"/>
      <c r="B27" s="23"/>
      <c r="C27" s="59"/>
      <c r="D27" s="60"/>
      <c r="E27" s="60"/>
      <c r="F27" s="65"/>
      <c r="G27" s="66"/>
      <c r="H27" s="20"/>
      <c r="I27" s="26"/>
      <c r="J27" s="26"/>
      <c r="K27" s="20"/>
      <c r="L27" s="68"/>
      <c r="M27" s="21"/>
    </row>
    <row r="28" spans="1:13" ht="25.5" customHeight="1" x14ac:dyDescent="0.4">
      <c r="A28" s="49"/>
      <c r="B28" s="23"/>
      <c r="C28" s="59"/>
      <c r="D28" s="60"/>
      <c r="E28" s="60"/>
      <c r="F28" s="17"/>
      <c r="G28" s="18"/>
      <c r="H28" s="20"/>
      <c r="I28" s="26"/>
      <c r="J28" s="26"/>
      <c r="K28" s="20"/>
      <c r="L28" s="68"/>
      <c r="M28" s="21"/>
    </row>
    <row r="29" spans="1:13" ht="25.5" customHeight="1" x14ac:dyDescent="0.4">
      <c r="A29" s="49"/>
      <c r="B29" s="23"/>
      <c r="C29" s="59"/>
      <c r="D29" s="60"/>
      <c r="E29" s="60"/>
      <c r="F29" s="17"/>
      <c r="G29" s="18"/>
      <c r="H29" s="20"/>
      <c r="I29" s="26"/>
      <c r="J29" s="26"/>
      <c r="K29" s="20"/>
      <c r="L29" s="68"/>
      <c r="M29" s="21"/>
    </row>
    <row r="30" spans="1:13" ht="25.5" customHeight="1" x14ac:dyDescent="0.4">
      <c r="A30" s="49"/>
      <c r="B30" s="23"/>
      <c r="C30" s="59"/>
      <c r="D30" s="60"/>
      <c r="E30" s="60"/>
      <c r="F30" s="65"/>
      <c r="G30" s="66"/>
      <c r="H30" s="20"/>
      <c r="I30" s="26"/>
      <c r="J30" s="26"/>
      <c r="K30" s="20"/>
      <c r="L30" s="68"/>
      <c r="M30" s="21"/>
    </row>
    <row r="31" spans="1:13" ht="25.5" customHeight="1" x14ac:dyDescent="0.4">
      <c r="A31" s="49"/>
      <c r="B31" s="23"/>
      <c r="C31" s="59"/>
      <c r="D31" s="60"/>
      <c r="E31" s="60"/>
      <c r="F31" s="17"/>
      <c r="G31" s="18"/>
      <c r="H31" s="20"/>
      <c r="I31" s="26"/>
      <c r="J31" s="26"/>
      <c r="K31" s="20"/>
      <c r="L31" s="68"/>
      <c r="M31" s="21"/>
    </row>
    <row r="32" spans="1:13" ht="25.5" customHeight="1" x14ac:dyDescent="0.4">
      <c r="A32" s="49"/>
      <c r="B32" s="23"/>
      <c r="C32" s="59"/>
      <c r="D32" s="60"/>
      <c r="E32" s="60"/>
      <c r="F32" s="17"/>
      <c r="G32" s="18"/>
      <c r="H32" s="20"/>
      <c r="I32" s="26"/>
      <c r="J32" s="26"/>
      <c r="K32" s="20"/>
      <c r="L32" s="68"/>
      <c r="M32" s="21"/>
    </row>
    <row r="33" spans="1:13" ht="25.5" customHeight="1" x14ac:dyDescent="0.4">
      <c r="A33" s="49"/>
      <c r="B33" s="23"/>
      <c r="C33" s="59"/>
      <c r="D33" s="60"/>
      <c r="E33" s="60"/>
      <c r="F33" s="65"/>
      <c r="G33" s="66"/>
      <c r="H33" s="20"/>
      <c r="I33" s="26"/>
      <c r="J33" s="26"/>
      <c r="K33" s="20"/>
      <c r="L33" s="68"/>
      <c r="M33" s="21"/>
    </row>
    <row r="34" spans="1:13" ht="25.5" customHeight="1" x14ac:dyDescent="0.4">
      <c r="A34" s="49"/>
      <c r="B34" s="23"/>
      <c r="C34" s="59"/>
      <c r="D34" s="60"/>
      <c r="E34" s="60"/>
      <c r="F34" s="17"/>
      <c r="G34" s="18"/>
      <c r="H34" s="20"/>
      <c r="I34" s="26"/>
      <c r="J34" s="26"/>
      <c r="K34" s="20"/>
      <c r="L34" s="68"/>
      <c r="M34" s="21"/>
    </row>
    <row r="35" spans="1:13" ht="25.5" customHeight="1" x14ac:dyDescent="0.4">
      <c r="A35" s="49"/>
      <c r="B35" s="23"/>
      <c r="C35" s="59"/>
      <c r="D35" s="60"/>
      <c r="E35" s="60"/>
      <c r="F35" s="17"/>
      <c r="G35" s="18"/>
      <c r="H35" s="20"/>
      <c r="I35" s="26"/>
      <c r="J35" s="26"/>
      <c r="K35" s="20"/>
      <c r="L35" s="68"/>
      <c r="M35" s="21"/>
    </row>
    <row r="36" spans="1:13" ht="25.5" customHeight="1" x14ac:dyDescent="0.4">
      <c r="A36" s="49"/>
      <c r="B36" s="23"/>
      <c r="C36" s="75"/>
      <c r="D36" s="60"/>
      <c r="E36" s="60"/>
      <c r="F36" s="17"/>
      <c r="G36" s="18"/>
      <c r="H36" s="20"/>
      <c r="I36" s="26"/>
      <c r="J36" s="26"/>
      <c r="K36" s="20"/>
      <c r="L36" s="68"/>
      <c r="M36" s="21"/>
    </row>
    <row r="37" spans="1:13" ht="25.5" customHeight="1" x14ac:dyDescent="0.4">
      <c r="A37" s="49"/>
      <c r="B37" s="23"/>
      <c r="C37" s="59"/>
      <c r="D37" s="60"/>
      <c r="E37" s="60"/>
      <c r="F37" s="17"/>
      <c r="G37" s="18"/>
      <c r="H37" s="20"/>
      <c r="I37" s="26"/>
      <c r="J37" s="26"/>
      <c r="K37" s="20"/>
      <c r="L37" s="68"/>
      <c r="M37" s="21"/>
    </row>
    <row r="38" spans="1:13" ht="25.5" customHeight="1" thickBot="1" x14ac:dyDescent="0.45">
      <c r="A38" s="49"/>
      <c r="B38" s="23"/>
      <c r="C38" s="16"/>
      <c r="D38" s="60"/>
      <c r="E38" s="60"/>
      <c r="F38" s="17"/>
      <c r="G38" s="18"/>
      <c r="H38" s="20"/>
      <c r="I38" s="26"/>
      <c r="J38" s="26"/>
      <c r="K38" s="20"/>
      <c r="L38" s="68"/>
      <c r="M38" s="21"/>
    </row>
    <row r="39" spans="1:13" ht="49" customHeight="1" thickTop="1" thickBot="1" x14ac:dyDescent="0.45">
      <c r="A39" s="51"/>
      <c r="B39" s="27"/>
      <c r="C39" s="28" t="s">
        <v>22</v>
      </c>
      <c r="D39" s="106" t="s">
        <v>38</v>
      </c>
      <c r="E39" s="107"/>
      <c r="F39" s="29"/>
      <c r="G39" s="30"/>
      <c r="H39" s="31">
        <f>SUM(H7:H38)</f>
        <v>37</v>
      </c>
      <c r="I39" s="31"/>
      <c r="J39" s="31"/>
      <c r="K39" s="31"/>
      <c r="L39" s="32">
        <f>SUM(L7:L38)</f>
        <v>7252</v>
      </c>
      <c r="M39" s="81" t="s">
        <v>55</v>
      </c>
    </row>
    <row r="40" spans="1:13" ht="32.5" customHeight="1" thickTop="1" thickBot="1" x14ac:dyDescent="0.45">
      <c r="A40" s="53"/>
      <c r="B40" s="33"/>
      <c r="C40" s="34"/>
      <c r="D40" s="35"/>
      <c r="E40" s="35"/>
      <c r="F40" s="35"/>
      <c r="G40" s="35"/>
      <c r="H40" s="35"/>
      <c r="I40" s="35"/>
      <c r="J40" s="35"/>
      <c r="K40" s="35"/>
      <c r="L40" s="36" t="s">
        <v>24</v>
      </c>
      <c r="M40" s="54">
        <f>SUM(L6:L38)</f>
        <v>7049</v>
      </c>
    </row>
    <row r="41" spans="1:13" s="6" customFormat="1" ht="23.25" customHeight="1" thickTop="1" thickBot="1" x14ac:dyDescent="0.45">
      <c r="A41" s="55" t="s">
        <v>25</v>
      </c>
      <c r="B41" s="56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8"/>
    </row>
  </sheetData>
  <mergeCells count="14">
    <mergeCell ref="J3:J4"/>
    <mergeCell ref="L3:L4"/>
    <mergeCell ref="D5:E5"/>
    <mergeCell ref="D39:E39"/>
    <mergeCell ref="A1:M1"/>
    <mergeCell ref="A2:A4"/>
    <mergeCell ref="B2:B4"/>
    <mergeCell ref="C2:C4"/>
    <mergeCell ref="D2:H2"/>
    <mergeCell ref="I2:J2"/>
    <mergeCell ref="K2:L2"/>
    <mergeCell ref="M2:M4"/>
    <mergeCell ref="F3:G3"/>
    <mergeCell ref="I3:I4"/>
  </mergeCells>
  <phoneticPr fontId="9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0161D-5317-4DB7-A048-38FC2443F971}">
  <sheetPr>
    <pageSetUpPr fitToPage="1"/>
  </sheetPr>
  <dimension ref="A1:M41"/>
  <sheetViews>
    <sheetView zoomScale="40" zoomScaleNormal="40" workbookViewId="0">
      <selection activeCell="M6" sqref="M6"/>
    </sheetView>
  </sheetViews>
  <sheetFormatPr defaultColWidth="9" defaultRowHeight="17" x14ac:dyDescent="0.4"/>
  <cols>
    <col min="1" max="1" width="20.90625" style="3" customWidth="1"/>
    <col min="2" max="2" width="23.453125" style="3" customWidth="1"/>
    <col min="3" max="3" width="20.453125" style="3" customWidth="1"/>
    <col min="4" max="12" width="15.90625" style="3" customWidth="1"/>
    <col min="13" max="13" width="52.08984375" style="3" customWidth="1"/>
    <col min="14" max="16384" width="9" style="3"/>
  </cols>
  <sheetData>
    <row r="1" spans="1:13" ht="33.75" customHeight="1" x14ac:dyDescent="0.4">
      <c r="A1" s="108" t="str">
        <f>'0'!A1</f>
        <v>育聖文理短期補習班  115年1月份出勤考核總表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10"/>
    </row>
    <row r="2" spans="1:13" ht="23.25" customHeight="1" x14ac:dyDescent="0.4">
      <c r="A2" s="111" t="s">
        <v>0</v>
      </c>
      <c r="B2" s="114" t="s">
        <v>1</v>
      </c>
      <c r="C2" s="117" t="s">
        <v>2</v>
      </c>
      <c r="D2" s="117" t="s">
        <v>3</v>
      </c>
      <c r="E2" s="118"/>
      <c r="F2" s="118"/>
      <c r="G2" s="118"/>
      <c r="H2" s="118"/>
      <c r="I2" s="119" t="s">
        <v>4</v>
      </c>
      <c r="J2" s="120"/>
      <c r="K2" s="117" t="s">
        <v>5</v>
      </c>
      <c r="L2" s="118"/>
      <c r="M2" s="121" t="s">
        <v>6</v>
      </c>
    </row>
    <row r="3" spans="1:13" ht="21" customHeight="1" x14ac:dyDescent="0.4">
      <c r="A3" s="112"/>
      <c r="B3" s="115"/>
      <c r="C3" s="101"/>
      <c r="D3" s="99" t="s">
        <v>7</v>
      </c>
      <c r="E3" s="99" t="s">
        <v>8</v>
      </c>
      <c r="F3" s="100" t="s">
        <v>9</v>
      </c>
      <c r="G3" s="101"/>
      <c r="H3" s="99" t="s">
        <v>10</v>
      </c>
      <c r="I3" s="100" t="s">
        <v>11</v>
      </c>
      <c r="J3" s="100" t="s">
        <v>12</v>
      </c>
      <c r="K3" s="1" t="s">
        <v>13</v>
      </c>
      <c r="L3" s="102" t="s">
        <v>14</v>
      </c>
      <c r="M3" s="122"/>
    </row>
    <row r="4" spans="1:13" ht="27" x14ac:dyDescent="0.4">
      <c r="A4" s="113"/>
      <c r="B4" s="116"/>
      <c r="C4" s="101"/>
      <c r="D4" s="4" t="s">
        <v>15</v>
      </c>
      <c r="E4" s="5" t="s">
        <v>15</v>
      </c>
      <c r="F4" s="2" t="s">
        <v>16</v>
      </c>
      <c r="G4" s="99" t="s">
        <v>17</v>
      </c>
      <c r="H4" s="99" t="s">
        <v>18</v>
      </c>
      <c r="I4" s="101"/>
      <c r="J4" s="101"/>
      <c r="K4" s="1" t="s">
        <v>19</v>
      </c>
      <c r="L4" s="103"/>
      <c r="M4" s="123"/>
    </row>
    <row r="5" spans="1:13" ht="23.5" customHeight="1" x14ac:dyDescent="0.4">
      <c r="A5" s="46" t="s">
        <v>26</v>
      </c>
      <c r="B5" s="93" t="s">
        <v>45</v>
      </c>
      <c r="C5" s="8"/>
      <c r="D5" s="104" t="s">
        <v>20</v>
      </c>
      <c r="E5" s="105"/>
      <c r="F5" s="9"/>
      <c r="G5" s="10"/>
      <c r="H5" s="11"/>
      <c r="I5" s="12"/>
      <c r="J5" s="12"/>
      <c r="K5" s="12"/>
      <c r="L5" s="13"/>
      <c r="M5" s="14" t="s">
        <v>50</v>
      </c>
    </row>
    <row r="6" spans="1:13" ht="25.5" customHeight="1" x14ac:dyDescent="0.4">
      <c r="A6" s="47"/>
      <c r="B6" s="15"/>
      <c r="C6" s="39" t="s">
        <v>21</v>
      </c>
      <c r="D6" s="40"/>
      <c r="E6" s="40"/>
      <c r="F6" s="41"/>
      <c r="G6" s="42"/>
      <c r="H6" s="43">
        <f t="shared" ref="H6:H19" si="0">E6-D6</f>
        <v>0</v>
      </c>
      <c r="I6" s="44"/>
      <c r="J6" s="44"/>
      <c r="K6" s="43"/>
      <c r="L6" s="45"/>
      <c r="M6" s="63" t="s">
        <v>92</v>
      </c>
    </row>
    <row r="7" spans="1:13" ht="25.5" customHeight="1" x14ac:dyDescent="0.4">
      <c r="A7" s="48"/>
      <c r="B7" s="64"/>
      <c r="C7" s="59">
        <v>46024</v>
      </c>
      <c r="D7" s="60">
        <v>11.5</v>
      </c>
      <c r="E7" s="60">
        <v>14.5</v>
      </c>
      <c r="F7" s="65"/>
      <c r="G7" s="66"/>
      <c r="H7" s="20">
        <f t="shared" si="0"/>
        <v>3</v>
      </c>
      <c r="I7" s="67"/>
      <c r="J7" s="67"/>
      <c r="K7" s="20"/>
      <c r="L7" s="68">
        <f>196*H7</f>
        <v>588</v>
      </c>
      <c r="M7" s="69"/>
    </row>
    <row r="8" spans="1:13" ht="25.5" customHeight="1" x14ac:dyDescent="0.4">
      <c r="A8" s="22"/>
      <c r="B8" s="64"/>
      <c r="C8" s="59">
        <v>46031</v>
      </c>
      <c r="D8" s="60">
        <v>11.5</v>
      </c>
      <c r="E8" s="60">
        <v>14.5</v>
      </c>
      <c r="F8" s="65"/>
      <c r="G8" s="66"/>
      <c r="H8" s="20">
        <f t="shared" si="0"/>
        <v>3</v>
      </c>
      <c r="I8" s="67"/>
      <c r="J8" s="67"/>
      <c r="K8" s="20"/>
      <c r="L8" s="68">
        <f t="shared" ref="L8:L35" si="1">196*H8</f>
        <v>588</v>
      </c>
      <c r="M8" s="69"/>
    </row>
    <row r="9" spans="1:13" ht="25.5" customHeight="1" x14ac:dyDescent="0.4">
      <c r="A9" s="48"/>
      <c r="B9" s="64"/>
      <c r="C9" s="59"/>
      <c r="D9" s="60"/>
      <c r="E9" s="60"/>
      <c r="F9" s="65"/>
      <c r="G9" s="66"/>
      <c r="H9" s="20"/>
      <c r="I9" s="67"/>
      <c r="J9" s="67"/>
      <c r="K9" s="20"/>
      <c r="L9" s="68"/>
      <c r="M9" s="69"/>
    </row>
    <row r="10" spans="1:13" ht="25.5" customHeight="1" x14ac:dyDescent="0.4">
      <c r="A10" s="49"/>
      <c r="B10" s="70"/>
      <c r="C10" s="59"/>
      <c r="D10" s="60"/>
      <c r="E10" s="60"/>
      <c r="F10" s="65"/>
      <c r="G10" s="66"/>
      <c r="H10" s="20"/>
      <c r="I10" s="67"/>
      <c r="J10" s="67"/>
      <c r="K10" s="20"/>
      <c r="L10" s="68"/>
      <c r="M10" s="69"/>
    </row>
    <row r="11" spans="1:13" ht="25.5" customHeight="1" x14ac:dyDescent="0.4">
      <c r="A11" s="49"/>
      <c r="B11" s="70"/>
      <c r="C11" s="59"/>
      <c r="D11" s="60"/>
      <c r="E11" s="60"/>
      <c r="F11" s="65"/>
      <c r="G11" s="66"/>
      <c r="H11" s="20"/>
      <c r="I11" s="67"/>
      <c r="J11" s="67"/>
      <c r="K11" s="20"/>
      <c r="L11" s="68"/>
      <c r="M11" s="69"/>
    </row>
    <row r="12" spans="1:13" ht="25.5" customHeight="1" x14ac:dyDescent="0.4">
      <c r="A12" s="49"/>
      <c r="B12" s="70"/>
      <c r="C12" s="59"/>
      <c r="D12" s="60"/>
      <c r="E12" s="60"/>
      <c r="F12" s="65"/>
      <c r="G12" s="66"/>
      <c r="H12" s="20"/>
      <c r="I12" s="67"/>
      <c r="J12" s="67"/>
      <c r="K12" s="20"/>
      <c r="L12" s="68"/>
      <c r="M12" s="69"/>
    </row>
    <row r="13" spans="1:13" ht="25.5" customHeight="1" x14ac:dyDescent="0.4">
      <c r="A13" s="49"/>
      <c r="B13" s="70"/>
      <c r="C13" s="70"/>
      <c r="D13" s="60"/>
      <c r="E13" s="60"/>
      <c r="F13" s="65"/>
      <c r="G13" s="66"/>
      <c r="H13" s="20"/>
      <c r="I13" s="67"/>
      <c r="J13" s="67"/>
      <c r="K13" s="20"/>
      <c r="L13" s="68"/>
      <c r="M13" s="69"/>
    </row>
    <row r="14" spans="1:13" ht="25.5" customHeight="1" x14ac:dyDescent="0.4">
      <c r="A14" s="49"/>
      <c r="B14" s="70"/>
      <c r="C14" s="59"/>
      <c r="D14" s="60"/>
      <c r="E14" s="60"/>
      <c r="F14" s="65"/>
      <c r="G14" s="66"/>
      <c r="H14" s="20"/>
      <c r="I14" s="67"/>
      <c r="J14" s="67"/>
      <c r="K14" s="20"/>
      <c r="L14" s="68"/>
      <c r="M14" s="69"/>
    </row>
    <row r="15" spans="1:13" ht="25.5" customHeight="1" x14ac:dyDescent="0.45">
      <c r="A15" s="49"/>
      <c r="B15" s="70"/>
      <c r="C15" s="59"/>
      <c r="D15" s="60"/>
      <c r="E15" s="60"/>
      <c r="F15" s="65"/>
      <c r="G15" s="66"/>
      <c r="H15" s="20"/>
      <c r="I15" s="67"/>
      <c r="J15" s="67"/>
      <c r="K15" s="20"/>
      <c r="L15" s="68"/>
      <c r="M15" s="71"/>
    </row>
    <row r="16" spans="1:13" ht="25.5" customHeight="1" x14ac:dyDescent="0.45">
      <c r="A16" s="49"/>
      <c r="B16" s="70"/>
      <c r="C16" s="59"/>
      <c r="D16" s="60"/>
      <c r="E16" s="60"/>
      <c r="F16" s="65"/>
      <c r="G16" s="66"/>
      <c r="H16" s="20"/>
      <c r="I16" s="67"/>
      <c r="J16" s="67"/>
      <c r="K16" s="20"/>
      <c r="L16" s="68"/>
      <c r="M16" s="71"/>
    </row>
    <row r="17" spans="1:13" ht="25.5" customHeight="1" x14ac:dyDescent="0.4">
      <c r="A17" s="49"/>
      <c r="B17" s="70"/>
      <c r="C17" s="59"/>
      <c r="D17" s="60"/>
      <c r="E17" s="60"/>
      <c r="F17" s="65"/>
      <c r="G17" s="66"/>
      <c r="H17" s="20"/>
      <c r="I17" s="67"/>
      <c r="J17" s="67"/>
      <c r="K17" s="20"/>
      <c r="L17" s="68"/>
      <c r="M17" s="72"/>
    </row>
    <row r="18" spans="1:13" ht="25.5" customHeight="1" x14ac:dyDescent="0.4">
      <c r="A18" s="49"/>
      <c r="B18" s="70"/>
      <c r="C18" s="59"/>
      <c r="D18" s="60"/>
      <c r="E18" s="60"/>
      <c r="F18" s="65"/>
      <c r="G18" s="66"/>
      <c r="H18" s="20"/>
      <c r="I18" s="67"/>
      <c r="J18" s="67"/>
      <c r="K18" s="20"/>
      <c r="L18" s="68"/>
      <c r="M18" s="69"/>
    </row>
    <row r="19" spans="1:13" ht="25.5" customHeight="1" x14ac:dyDescent="0.4">
      <c r="A19" s="50"/>
      <c r="B19" s="70"/>
      <c r="C19" s="59"/>
      <c r="D19" s="60"/>
      <c r="E19" s="60"/>
      <c r="F19" s="65"/>
      <c r="G19" s="66"/>
      <c r="H19" s="20"/>
      <c r="I19" s="67"/>
      <c r="J19" s="67"/>
      <c r="K19" s="20"/>
      <c r="L19" s="68"/>
      <c r="M19" s="69"/>
    </row>
    <row r="20" spans="1:13" ht="25.5" customHeight="1" x14ac:dyDescent="0.4">
      <c r="A20" s="49"/>
      <c r="B20" s="70"/>
      <c r="C20" s="70"/>
      <c r="D20" s="60"/>
      <c r="E20" s="60"/>
      <c r="F20" s="65"/>
      <c r="G20" s="66"/>
      <c r="H20" s="20"/>
      <c r="I20" s="67"/>
      <c r="J20" s="67"/>
      <c r="K20" s="20"/>
      <c r="L20" s="68"/>
      <c r="M20" s="69"/>
    </row>
    <row r="21" spans="1:13" ht="25.5" customHeight="1" x14ac:dyDescent="0.4">
      <c r="A21" s="49"/>
      <c r="B21" s="70"/>
      <c r="C21" s="59"/>
      <c r="D21" s="60"/>
      <c r="E21" s="60"/>
      <c r="F21" s="65"/>
      <c r="G21" s="66"/>
      <c r="H21" s="20"/>
      <c r="I21" s="73"/>
      <c r="J21" s="73"/>
      <c r="K21" s="20"/>
      <c r="L21" s="68"/>
      <c r="M21" s="69"/>
    </row>
    <row r="22" spans="1:13" ht="25.5" customHeight="1" x14ac:dyDescent="0.4">
      <c r="A22" s="49"/>
      <c r="B22" s="70"/>
      <c r="C22" s="59"/>
      <c r="D22" s="60"/>
      <c r="E22" s="60"/>
      <c r="F22" s="65"/>
      <c r="G22" s="66"/>
      <c r="H22" s="20"/>
      <c r="I22" s="26"/>
      <c r="J22" s="26"/>
      <c r="K22" s="20"/>
      <c r="L22" s="68"/>
      <c r="M22" s="69"/>
    </row>
    <row r="23" spans="1:13" ht="25.5" customHeight="1" x14ac:dyDescent="0.4">
      <c r="A23" s="49"/>
      <c r="B23" s="70"/>
      <c r="C23" s="59"/>
      <c r="D23" s="60"/>
      <c r="E23" s="60"/>
      <c r="F23" s="65"/>
      <c r="G23" s="66"/>
      <c r="H23" s="20"/>
      <c r="I23" s="26"/>
      <c r="J23" s="26"/>
      <c r="K23" s="20"/>
      <c r="L23" s="68"/>
      <c r="M23" s="69"/>
    </row>
    <row r="24" spans="1:13" ht="25.5" customHeight="1" x14ac:dyDescent="0.4">
      <c r="A24" s="49"/>
      <c r="B24" s="70"/>
      <c r="C24" s="59"/>
      <c r="D24" s="60"/>
      <c r="E24" s="60"/>
      <c r="F24" s="65"/>
      <c r="G24" s="66"/>
      <c r="H24" s="20"/>
      <c r="I24" s="26"/>
      <c r="J24" s="26"/>
      <c r="K24" s="20"/>
      <c r="L24" s="68"/>
      <c r="M24" s="69"/>
    </row>
    <row r="25" spans="1:13" ht="25.5" customHeight="1" x14ac:dyDescent="0.4">
      <c r="A25" s="49"/>
      <c r="B25" s="70"/>
      <c r="C25" s="59"/>
      <c r="D25" s="60"/>
      <c r="E25" s="60"/>
      <c r="F25" s="65"/>
      <c r="G25" s="66"/>
      <c r="H25" s="20"/>
      <c r="I25" s="26"/>
      <c r="J25" s="26"/>
      <c r="K25" s="20"/>
      <c r="L25" s="68"/>
      <c r="M25" s="21"/>
    </row>
    <row r="26" spans="1:13" ht="25.5" customHeight="1" x14ac:dyDescent="0.4">
      <c r="A26" s="49"/>
      <c r="B26" s="70"/>
      <c r="C26" s="59"/>
      <c r="D26" s="60"/>
      <c r="E26" s="60"/>
      <c r="F26" s="65"/>
      <c r="G26" s="66"/>
      <c r="H26" s="20"/>
      <c r="I26" s="26"/>
      <c r="J26" s="26"/>
      <c r="K26" s="20"/>
      <c r="L26" s="68"/>
      <c r="M26" s="21"/>
    </row>
    <row r="27" spans="1:13" ht="25.5" customHeight="1" x14ac:dyDescent="0.4">
      <c r="A27" s="49"/>
      <c r="B27" s="23"/>
      <c r="C27" s="59"/>
      <c r="D27" s="60"/>
      <c r="E27" s="60"/>
      <c r="F27" s="65"/>
      <c r="G27" s="66"/>
      <c r="H27" s="20"/>
      <c r="I27" s="26"/>
      <c r="J27" s="26"/>
      <c r="K27" s="20"/>
      <c r="L27" s="68"/>
      <c r="M27" s="21"/>
    </row>
    <row r="28" spans="1:13" ht="25.5" customHeight="1" x14ac:dyDescent="0.4">
      <c r="A28" s="49"/>
      <c r="B28" s="23"/>
      <c r="C28" s="75"/>
      <c r="D28" s="60"/>
      <c r="E28" s="60"/>
      <c r="F28" s="17"/>
      <c r="G28" s="18"/>
      <c r="H28" s="20"/>
      <c r="I28" s="26"/>
      <c r="J28" s="26"/>
      <c r="K28" s="20"/>
      <c r="L28" s="68"/>
      <c r="M28" s="21"/>
    </row>
    <row r="29" spans="1:13" ht="25.5" customHeight="1" x14ac:dyDescent="0.4">
      <c r="A29" s="49"/>
      <c r="B29" s="23"/>
      <c r="C29" s="75"/>
      <c r="D29" s="60"/>
      <c r="E29" s="60"/>
      <c r="F29" s="17"/>
      <c r="G29" s="18"/>
      <c r="H29" s="20"/>
      <c r="I29" s="26"/>
      <c r="J29" s="26"/>
      <c r="K29" s="20"/>
      <c r="L29" s="68"/>
      <c r="M29" s="21"/>
    </row>
    <row r="30" spans="1:13" ht="25.5" customHeight="1" x14ac:dyDescent="0.4">
      <c r="A30" s="49"/>
      <c r="B30" s="23"/>
      <c r="C30" s="59"/>
      <c r="D30" s="60"/>
      <c r="E30" s="60"/>
      <c r="F30" s="65"/>
      <c r="G30" s="66"/>
      <c r="H30" s="20"/>
      <c r="I30" s="26"/>
      <c r="J30" s="26"/>
      <c r="K30" s="20"/>
      <c r="L30" s="68"/>
      <c r="M30" s="21"/>
    </row>
    <row r="31" spans="1:13" ht="25.5" customHeight="1" x14ac:dyDescent="0.4">
      <c r="A31" s="49"/>
      <c r="B31" s="23"/>
      <c r="C31" s="75"/>
      <c r="D31" s="60"/>
      <c r="E31" s="60"/>
      <c r="F31" s="17"/>
      <c r="G31" s="18"/>
      <c r="H31" s="20"/>
      <c r="I31" s="26"/>
      <c r="J31" s="26"/>
      <c r="K31" s="20"/>
      <c r="L31" s="68"/>
      <c r="M31" s="21"/>
    </row>
    <row r="32" spans="1:13" ht="25.5" customHeight="1" x14ac:dyDescent="0.4">
      <c r="A32" s="49"/>
      <c r="B32" s="23"/>
      <c r="C32" s="75"/>
      <c r="D32" s="60"/>
      <c r="E32" s="60"/>
      <c r="F32" s="17"/>
      <c r="G32" s="18"/>
      <c r="H32" s="20"/>
      <c r="I32" s="26"/>
      <c r="J32" s="26"/>
      <c r="K32" s="20"/>
      <c r="L32" s="68"/>
      <c r="M32" s="21"/>
    </row>
    <row r="33" spans="1:13" ht="25.5" customHeight="1" x14ac:dyDescent="0.4">
      <c r="A33" s="49"/>
      <c r="B33" s="23"/>
      <c r="C33" s="59"/>
      <c r="D33" s="60"/>
      <c r="E33" s="60"/>
      <c r="F33" s="65"/>
      <c r="G33" s="66"/>
      <c r="H33" s="20"/>
      <c r="I33" s="26"/>
      <c r="J33" s="26"/>
      <c r="K33" s="20"/>
      <c r="L33" s="68"/>
      <c r="M33" s="21"/>
    </row>
    <row r="34" spans="1:13" ht="25.5" customHeight="1" x14ac:dyDescent="0.4">
      <c r="A34" s="49"/>
      <c r="B34" s="23"/>
      <c r="C34" s="75"/>
      <c r="D34" s="60"/>
      <c r="E34" s="60"/>
      <c r="F34" s="17"/>
      <c r="G34" s="18"/>
      <c r="H34" s="20"/>
      <c r="I34" s="26"/>
      <c r="J34" s="26"/>
      <c r="K34" s="20"/>
      <c r="L34" s="68"/>
      <c r="M34" s="21"/>
    </row>
    <row r="35" spans="1:13" ht="25.5" customHeight="1" x14ac:dyDescent="0.4">
      <c r="A35" s="49"/>
      <c r="B35" s="23"/>
      <c r="C35" s="75"/>
      <c r="D35" s="60"/>
      <c r="E35" s="60"/>
      <c r="F35" s="17"/>
      <c r="G35" s="18"/>
      <c r="H35" s="20"/>
      <c r="I35" s="26"/>
      <c r="J35" s="26"/>
      <c r="K35" s="20"/>
      <c r="L35" s="68"/>
      <c r="M35" s="21"/>
    </row>
    <row r="36" spans="1:13" ht="25.5" customHeight="1" x14ac:dyDescent="0.4">
      <c r="A36" s="49"/>
      <c r="B36" s="23"/>
      <c r="C36" s="75"/>
      <c r="D36" s="60"/>
      <c r="E36" s="60"/>
      <c r="F36" s="17"/>
      <c r="G36" s="18"/>
      <c r="H36" s="20"/>
      <c r="I36" s="26"/>
      <c r="J36" s="26"/>
      <c r="K36" s="20"/>
      <c r="L36" s="68"/>
      <c r="M36" s="21"/>
    </row>
    <row r="37" spans="1:13" ht="25.5" customHeight="1" x14ac:dyDescent="0.4">
      <c r="A37" s="49"/>
      <c r="B37" s="23"/>
      <c r="C37" s="16"/>
      <c r="D37" s="60"/>
      <c r="E37" s="60"/>
      <c r="F37" s="17"/>
      <c r="G37" s="18"/>
      <c r="H37" s="20"/>
      <c r="I37" s="26"/>
      <c r="J37" s="26"/>
      <c r="K37" s="20"/>
      <c r="L37" s="68"/>
      <c r="M37" s="21"/>
    </row>
    <row r="38" spans="1:13" ht="25.5" customHeight="1" thickBot="1" x14ac:dyDescent="0.45">
      <c r="A38" s="49"/>
      <c r="B38" s="23"/>
      <c r="C38" s="16"/>
      <c r="D38" s="60"/>
      <c r="E38" s="60"/>
      <c r="F38" s="17"/>
      <c r="G38" s="18"/>
      <c r="H38" s="20"/>
      <c r="I38" s="26"/>
      <c r="J38" s="26"/>
      <c r="K38" s="20"/>
      <c r="L38" s="68"/>
      <c r="M38" s="21"/>
    </row>
    <row r="39" spans="1:13" ht="49" customHeight="1" thickTop="1" thickBot="1" x14ac:dyDescent="0.45">
      <c r="A39" s="51"/>
      <c r="B39" s="27"/>
      <c r="C39" s="28" t="s">
        <v>22</v>
      </c>
      <c r="D39" s="106" t="s">
        <v>23</v>
      </c>
      <c r="E39" s="107"/>
      <c r="F39" s="29"/>
      <c r="G39" s="30"/>
      <c r="H39" s="31">
        <f>SUM(H7:H38)</f>
        <v>6</v>
      </c>
      <c r="I39" s="31"/>
      <c r="J39" s="31"/>
      <c r="K39" s="31"/>
      <c r="L39" s="32">
        <f>SUM(L7:L38)</f>
        <v>1176</v>
      </c>
      <c r="M39" s="81"/>
    </row>
    <row r="40" spans="1:13" ht="32.5" customHeight="1" thickTop="1" thickBot="1" x14ac:dyDescent="0.45">
      <c r="A40" s="53"/>
      <c r="B40" s="33"/>
      <c r="C40" s="34"/>
      <c r="D40" s="35"/>
      <c r="E40" s="35"/>
      <c r="F40" s="35"/>
      <c r="G40" s="35"/>
      <c r="H40" s="35"/>
      <c r="I40" s="35"/>
      <c r="J40" s="35"/>
      <c r="K40" s="35"/>
      <c r="L40" s="36" t="s">
        <v>24</v>
      </c>
      <c r="M40" s="54">
        <f>SUM(L6:L38)</f>
        <v>1176</v>
      </c>
    </row>
    <row r="41" spans="1:13" s="6" customFormat="1" ht="23.25" customHeight="1" thickTop="1" thickBot="1" x14ac:dyDescent="0.45">
      <c r="A41" s="55" t="s">
        <v>25</v>
      </c>
      <c r="B41" s="56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8"/>
    </row>
  </sheetData>
  <mergeCells count="14">
    <mergeCell ref="J3:J4"/>
    <mergeCell ref="L3:L4"/>
    <mergeCell ref="D5:E5"/>
    <mergeCell ref="D39:E39"/>
    <mergeCell ref="A1:M1"/>
    <mergeCell ref="A2:A4"/>
    <mergeCell ref="B2:B4"/>
    <mergeCell ref="C2:C4"/>
    <mergeCell ref="D2:H2"/>
    <mergeCell ref="I2:J2"/>
    <mergeCell ref="K2:L2"/>
    <mergeCell ref="M2:M4"/>
    <mergeCell ref="F3:G3"/>
    <mergeCell ref="I3:I4"/>
  </mergeCells>
  <phoneticPr fontId="9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0BB9A-9E8B-45FA-8792-BACA73B08BA5}">
  <sheetPr>
    <pageSetUpPr fitToPage="1"/>
  </sheetPr>
  <dimension ref="A1:M41"/>
  <sheetViews>
    <sheetView zoomScale="40" zoomScaleNormal="40" workbookViewId="0">
      <selection activeCell="D10" sqref="D10"/>
    </sheetView>
  </sheetViews>
  <sheetFormatPr defaultColWidth="9" defaultRowHeight="17" x14ac:dyDescent="0.4"/>
  <cols>
    <col min="1" max="1" width="20.90625" style="3" customWidth="1"/>
    <col min="2" max="2" width="23.453125" style="3" customWidth="1"/>
    <col min="3" max="3" width="20.453125" style="3" customWidth="1"/>
    <col min="4" max="12" width="15.90625" style="3" customWidth="1"/>
    <col min="13" max="13" width="52.08984375" style="3" customWidth="1"/>
    <col min="14" max="16384" width="9" style="3"/>
  </cols>
  <sheetData>
    <row r="1" spans="1:13" ht="33.75" customHeight="1" x14ac:dyDescent="0.4">
      <c r="A1" s="108" t="str">
        <f>'0'!A1</f>
        <v>育聖文理短期補習班  115年1月份出勤考核總表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10"/>
    </row>
    <row r="2" spans="1:13" ht="23.25" customHeight="1" x14ac:dyDescent="0.4">
      <c r="A2" s="111" t="s">
        <v>0</v>
      </c>
      <c r="B2" s="114" t="s">
        <v>1</v>
      </c>
      <c r="C2" s="117" t="s">
        <v>2</v>
      </c>
      <c r="D2" s="117" t="s">
        <v>3</v>
      </c>
      <c r="E2" s="118"/>
      <c r="F2" s="118"/>
      <c r="G2" s="118"/>
      <c r="H2" s="118"/>
      <c r="I2" s="119" t="s">
        <v>4</v>
      </c>
      <c r="J2" s="120"/>
      <c r="K2" s="117" t="s">
        <v>5</v>
      </c>
      <c r="L2" s="118"/>
      <c r="M2" s="121" t="s">
        <v>6</v>
      </c>
    </row>
    <row r="3" spans="1:13" ht="21" customHeight="1" x14ac:dyDescent="0.4">
      <c r="A3" s="112"/>
      <c r="B3" s="115"/>
      <c r="C3" s="101"/>
      <c r="D3" s="99" t="s">
        <v>7</v>
      </c>
      <c r="E3" s="99" t="s">
        <v>8</v>
      </c>
      <c r="F3" s="100" t="s">
        <v>9</v>
      </c>
      <c r="G3" s="101"/>
      <c r="H3" s="99" t="s">
        <v>10</v>
      </c>
      <c r="I3" s="100" t="s">
        <v>11</v>
      </c>
      <c r="J3" s="100" t="s">
        <v>12</v>
      </c>
      <c r="K3" s="1" t="s">
        <v>13</v>
      </c>
      <c r="L3" s="102" t="s">
        <v>14</v>
      </c>
      <c r="M3" s="122"/>
    </row>
    <row r="4" spans="1:13" ht="27" x14ac:dyDescent="0.4">
      <c r="A4" s="113"/>
      <c r="B4" s="116"/>
      <c r="C4" s="101"/>
      <c r="D4" s="4" t="s">
        <v>15</v>
      </c>
      <c r="E4" s="5" t="s">
        <v>15</v>
      </c>
      <c r="F4" s="2" t="s">
        <v>16</v>
      </c>
      <c r="G4" s="99" t="s">
        <v>17</v>
      </c>
      <c r="H4" s="99" t="s">
        <v>18</v>
      </c>
      <c r="I4" s="101"/>
      <c r="J4" s="101"/>
      <c r="K4" s="1" t="s">
        <v>19</v>
      </c>
      <c r="L4" s="103"/>
      <c r="M4" s="123"/>
    </row>
    <row r="5" spans="1:13" ht="23.5" customHeight="1" x14ac:dyDescent="0.4">
      <c r="A5" s="46" t="s">
        <v>26</v>
      </c>
      <c r="B5" s="93" t="s">
        <v>93</v>
      </c>
      <c r="C5" s="8"/>
      <c r="D5" s="104" t="s">
        <v>20</v>
      </c>
      <c r="E5" s="105"/>
      <c r="F5" s="9"/>
      <c r="G5" s="10"/>
      <c r="H5" s="11"/>
      <c r="I5" s="12"/>
      <c r="J5" s="12"/>
      <c r="K5" s="12"/>
      <c r="L5" s="13"/>
      <c r="M5" s="14" t="s">
        <v>50</v>
      </c>
    </row>
    <row r="6" spans="1:13" ht="25.5" customHeight="1" x14ac:dyDescent="0.4">
      <c r="A6" s="47"/>
      <c r="B6" s="15"/>
      <c r="C6" s="39" t="s">
        <v>21</v>
      </c>
      <c r="D6" s="40"/>
      <c r="E6" s="40"/>
      <c r="F6" s="41"/>
      <c r="G6" s="42"/>
      <c r="H6" s="43">
        <f t="shared" ref="H6:H19" si="0">E6-D6</f>
        <v>0</v>
      </c>
      <c r="I6" s="44"/>
      <c r="J6" s="44"/>
      <c r="K6" s="43"/>
      <c r="L6" s="45"/>
      <c r="M6" s="63" t="s">
        <v>92</v>
      </c>
    </row>
    <row r="7" spans="1:13" ht="25.5" customHeight="1" x14ac:dyDescent="0.4">
      <c r="A7" s="48"/>
      <c r="B7" s="64"/>
      <c r="C7" s="59">
        <v>46035</v>
      </c>
      <c r="D7" s="60">
        <v>17.5</v>
      </c>
      <c r="E7" s="60">
        <v>20</v>
      </c>
      <c r="F7" s="65"/>
      <c r="G7" s="66"/>
      <c r="H7" s="20">
        <f t="shared" si="0"/>
        <v>2.5</v>
      </c>
      <c r="I7" s="67"/>
      <c r="J7" s="67"/>
      <c r="K7" s="20"/>
      <c r="L7" s="68">
        <f>196*H7</f>
        <v>490</v>
      </c>
      <c r="M7" s="69"/>
    </row>
    <row r="8" spans="1:13" ht="25.5" customHeight="1" x14ac:dyDescent="0.4">
      <c r="A8" s="22"/>
      <c r="B8" s="64"/>
      <c r="C8" s="59">
        <v>46036</v>
      </c>
      <c r="D8" s="60">
        <v>18</v>
      </c>
      <c r="E8" s="60">
        <v>20</v>
      </c>
      <c r="F8" s="65"/>
      <c r="G8" s="66"/>
      <c r="H8" s="20">
        <f t="shared" si="0"/>
        <v>2</v>
      </c>
      <c r="I8" s="67"/>
      <c r="J8" s="67"/>
      <c r="K8" s="20"/>
      <c r="L8" s="68">
        <f t="shared" ref="L8:L35" si="1">196*H8</f>
        <v>392</v>
      </c>
      <c r="M8" s="69"/>
    </row>
    <row r="9" spans="1:13" ht="25.5" customHeight="1" x14ac:dyDescent="0.4">
      <c r="A9" s="48"/>
      <c r="B9" s="64"/>
      <c r="C9" s="59">
        <v>46038</v>
      </c>
      <c r="D9" s="60">
        <v>18</v>
      </c>
      <c r="E9" s="60">
        <v>20</v>
      </c>
      <c r="F9" s="65"/>
      <c r="G9" s="66"/>
      <c r="H9" s="20">
        <f t="shared" ref="H9:H10" si="2">E9-D9</f>
        <v>2</v>
      </c>
      <c r="I9" s="67"/>
      <c r="J9" s="67"/>
      <c r="K9" s="20"/>
      <c r="L9" s="68">
        <f t="shared" ref="L9:L10" si="3">196*H9</f>
        <v>392</v>
      </c>
      <c r="M9" s="69"/>
    </row>
    <row r="10" spans="1:13" ht="25.5" customHeight="1" x14ac:dyDescent="0.4">
      <c r="A10" s="49"/>
      <c r="B10" s="70"/>
      <c r="C10" s="59">
        <v>46043</v>
      </c>
      <c r="D10" s="60">
        <v>16.5</v>
      </c>
      <c r="E10" s="60">
        <v>18.5</v>
      </c>
      <c r="F10" s="65"/>
      <c r="G10" s="66"/>
      <c r="H10" s="20">
        <f t="shared" si="2"/>
        <v>2</v>
      </c>
      <c r="I10" s="67"/>
      <c r="J10" s="67"/>
      <c r="K10" s="20"/>
      <c r="L10" s="68">
        <f t="shared" si="3"/>
        <v>392</v>
      </c>
      <c r="M10" s="69"/>
    </row>
    <row r="11" spans="1:13" ht="25.5" customHeight="1" x14ac:dyDescent="0.4">
      <c r="A11" s="49"/>
      <c r="B11" s="70"/>
      <c r="C11" s="59">
        <v>46044</v>
      </c>
      <c r="D11" s="60">
        <v>16.5</v>
      </c>
      <c r="E11" s="60">
        <v>18.5</v>
      </c>
      <c r="F11" s="65"/>
      <c r="G11" s="66"/>
      <c r="H11" s="20">
        <f t="shared" ref="H11:H15" si="4">E11-D11</f>
        <v>2</v>
      </c>
      <c r="I11" s="67"/>
      <c r="J11" s="67"/>
      <c r="K11" s="20"/>
      <c r="L11" s="68">
        <f t="shared" ref="L11:L15" si="5">196*H11</f>
        <v>392</v>
      </c>
      <c r="M11" s="69"/>
    </row>
    <row r="12" spans="1:13" ht="25.5" customHeight="1" x14ac:dyDescent="0.4">
      <c r="A12" s="49"/>
      <c r="B12" s="70"/>
      <c r="C12" s="59">
        <v>46045</v>
      </c>
      <c r="D12" s="60">
        <v>16.5</v>
      </c>
      <c r="E12" s="60">
        <v>18.5</v>
      </c>
      <c r="F12" s="65"/>
      <c r="G12" s="66"/>
      <c r="H12" s="20">
        <f t="shared" si="4"/>
        <v>2</v>
      </c>
      <c r="I12" s="67"/>
      <c r="J12" s="67"/>
      <c r="K12" s="20"/>
      <c r="L12" s="68">
        <f t="shared" si="5"/>
        <v>392</v>
      </c>
      <c r="M12" s="69"/>
    </row>
    <row r="13" spans="1:13" ht="25.5" customHeight="1" x14ac:dyDescent="0.4">
      <c r="A13" s="49"/>
      <c r="B13" s="70"/>
      <c r="C13" s="59">
        <v>46051</v>
      </c>
      <c r="D13" s="60">
        <v>10</v>
      </c>
      <c r="E13" s="60">
        <v>14</v>
      </c>
      <c r="F13" s="65"/>
      <c r="G13" s="66"/>
      <c r="H13" s="20">
        <f t="shared" si="4"/>
        <v>4</v>
      </c>
      <c r="I13" s="67"/>
      <c r="J13" s="67"/>
      <c r="K13" s="20"/>
      <c r="L13" s="68">
        <f t="shared" si="5"/>
        <v>784</v>
      </c>
      <c r="M13" s="69"/>
    </row>
    <row r="14" spans="1:13" ht="25.5" customHeight="1" x14ac:dyDescent="0.4">
      <c r="A14" s="49"/>
      <c r="B14" s="70"/>
      <c r="C14" s="59"/>
      <c r="D14" s="60"/>
      <c r="E14" s="60"/>
      <c r="F14" s="65"/>
      <c r="G14" s="66"/>
      <c r="H14" s="20"/>
      <c r="I14" s="67"/>
      <c r="J14" s="67"/>
      <c r="K14" s="20"/>
      <c r="L14" s="68"/>
      <c r="M14" s="69"/>
    </row>
    <row r="15" spans="1:13" ht="25.5" customHeight="1" x14ac:dyDescent="0.45">
      <c r="A15" s="49"/>
      <c r="B15" s="70"/>
      <c r="C15" s="59"/>
      <c r="D15" s="60"/>
      <c r="E15" s="60"/>
      <c r="F15" s="65"/>
      <c r="G15" s="66"/>
      <c r="H15" s="20"/>
      <c r="I15" s="67"/>
      <c r="J15" s="67"/>
      <c r="K15" s="20"/>
      <c r="L15" s="68"/>
      <c r="M15" s="71"/>
    </row>
    <row r="16" spans="1:13" ht="25.5" customHeight="1" x14ac:dyDescent="0.45">
      <c r="A16" s="49"/>
      <c r="B16" s="70"/>
      <c r="C16" s="59"/>
      <c r="D16" s="60"/>
      <c r="E16" s="60"/>
      <c r="F16" s="65"/>
      <c r="G16" s="66"/>
      <c r="H16" s="20"/>
      <c r="I16" s="67"/>
      <c r="J16" s="67"/>
      <c r="K16" s="20"/>
      <c r="L16" s="68"/>
      <c r="M16" s="71"/>
    </row>
    <row r="17" spans="1:13" ht="25.5" customHeight="1" x14ac:dyDescent="0.4">
      <c r="A17" s="49"/>
      <c r="B17" s="70"/>
      <c r="C17" s="59"/>
      <c r="D17" s="60"/>
      <c r="E17" s="60"/>
      <c r="F17" s="65"/>
      <c r="G17" s="66"/>
      <c r="H17" s="20"/>
      <c r="I17" s="67"/>
      <c r="J17" s="67"/>
      <c r="K17" s="20"/>
      <c r="L17" s="68"/>
      <c r="M17" s="72"/>
    </row>
    <row r="18" spans="1:13" ht="25.5" customHeight="1" x14ac:dyDescent="0.4">
      <c r="A18" s="49"/>
      <c r="B18" s="70"/>
      <c r="C18" s="59"/>
      <c r="D18" s="60"/>
      <c r="E18" s="60"/>
      <c r="F18" s="65"/>
      <c r="G18" s="66"/>
      <c r="H18" s="20"/>
      <c r="I18" s="67"/>
      <c r="J18" s="67"/>
      <c r="K18" s="20"/>
      <c r="L18" s="68"/>
      <c r="M18" s="69"/>
    </row>
    <row r="19" spans="1:13" ht="25.5" customHeight="1" x14ac:dyDescent="0.4">
      <c r="A19" s="50"/>
      <c r="B19" s="70"/>
      <c r="C19" s="59"/>
      <c r="D19" s="60"/>
      <c r="E19" s="60"/>
      <c r="F19" s="65"/>
      <c r="G19" s="66"/>
      <c r="H19" s="20"/>
      <c r="I19" s="67"/>
      <c r="J19" s="67"/>
      <c r="K19" s="20"/>
      <c r="L19" s="68"/>
      <c r="M19" s="69"/>
    </row>
    <row r="20" spans="1:13" ht="25.5" customHeight="1" x14ac:dyDescent="0.4">
      <c r="A20" s="49"/>
      <c r="B20" s="70"/>
      <c r="C20" s="70"/>
      <c r="D20" s="60"/>
      <c r="E20" s="60"/>
      <c r="F20" s="65"/>
      <c r="G20" s="66"/>
      <c r="H20" s="20"/>
      <c r="I20" s="67"/>
      <c r="J20" s="67"/>
      <c r="K20" s="20"/>
      <c r="L20" s="68"/>
      <c r="M20" s="69"/>
    </row>
    <row r="21" spans="1:13" ht="25.5" customHeight="1" x14ac:dyDescent="0.4">
      <c r="A21" s="49"/>
      <c r="B21" s="70"/>
      <c r="C21" s="59"/>
      <c r="D21" s="60"/>
      <c r="E21" s="60"/>
      <c r="F21" s="65"/>
      <c r="G21" s="66"/>
      <c r="H21" s="20"/>
      <c r="I21" s="73"/>
      <c r="J21" s="73"/>
      <c r="K21" s="20"/>
      <c r="L21" s="68"/>
      <c r="M21" s="69"/>
    </row>
    <row r="22" spans="1:13" ht="25.5" customHeight="1" x14ac:dyDescent="0.4">
      <c r="A22" s="49"/>
      <c r="B22" s="70"/>
      <c r="C22" s="59"/>
      <c r="D22" s="60"/>
      <c r="E22" s="60"/>
      <c r="F22" s="65"/>
      <c r="G22" s="66"/>
      <c r="H22" s="20"/>
      <c r="I22" s="26"/>
      <c r="J22" s="26"/>
      <c r="K22" s="20"/>
      <c r="L22" s="68"/>
      <c r="M22" s="69"/>
    </row>
    <row r="23" spans="1:13" ht="25.5" customHeight="1" x14ac:dyDescent="0.4">
      <c r="A23" s="49"/>
      <c r="B23" s="70"/>
      <c r="C23" s="59"/>
      <c r="D23" s="60"/>
      <c r="E23" s="60"/>
      <c r="F23" s="65"/>
      <c r="G23" s="66"/>
      <c r="H23" s="20"/>
      <c r="I23" s="26"/>
      <c r="J23" s="26"/>
      <c r="K23" s="20"/>
      <c r="L23" s="68"/>
      <c r="M23" s="69"/>
    </row>
    <row r="24" spans="1:13" ht="25.5" customHeight="1" x14ac:dyDescent="0.4">
      <c r="A24" s="49"/>
      <c r="B24" s="70"/>
      <c r="C24" s="59"/>
      <c r="D24" s="60"/>
      <c r="E24" s="60"/>
      <c r="F24" s="65"/>
      <c r="G24" s="66"/>
      <c r="H24" s="20"/>
      <c r="I24" s="26"/>
      <c r="J24" s="26"/>
      <c r="K24" s="20"/>
      <c r="L24" s="68"/>
      <c r="M24" s="69"/>
    </row>
    <row r="25" spans="1:13" ht="25.5" customHeight="1" x14ac:dyDescent="0.4">
      <c r="A25" s="49"/>
      <c r="B25" s="70"/>
      <c r="C25" s="59"/>
      <c r="D25" s="60"/>
      <c r="E25" s="60"/>
      <c r="F25" s="65"/>
      <c r="G25" s="66"/>
      <c r="H25" s="20"/>
      <c r="I25" s="26"/>
      <c r="J25" s="26"/>
      <c r="K25" s="20"/>
      <c r="L25" s="68"/>
      <c r="M25" s="21"/>
    </row>
    <row r="26" spans="1:13" ht="25.5" customHeight="1" x14ac:dyDescent="0.4">
      <c r="A26" s="49"/>
      <c r="B26" s="70"/>
      <c r="C26" s="59"/>
      <c r="D26" s="60"/>
      <c r="E26" s="60"/>
      <c r="F26" s="65"/>
      <c r="G26" s="66"/>
      <c r="H26" s="20"/>
      <c r="I26" s="26"/>
      <c r="J26" s="26"/>
      <c r="K26" s="20"/>
      <c r="L26" s="68"/>
      <c r="M26" s="21"/>
    </row>
    <row r="27" spans="1:13" ht="25.5" customHeight="1" x14ac:dyDescent="0.4">
      <c r="A27" s="49"/>
      <c r="B27" s="23"/>
      <c r="C27" s="59"/>
      <c r="D27" s="60"/>
      <c r="E27" s="60"/>
      <c r="F27" s="65"/>
      <c r="G27" s="66"/>
      <c r="H27" s="20"/>
      <c r="I27" s="26"/>
      <c r="J27" s="26"/>
      <c r="K27" s="20"/>
      <c r="L27" s="68"/>
      <c r="M27" s="21"/>
    </row>
    <row r="28" spans="1:13" ht="25.5" customHeight="1" x14ac:dyDescent="0.4">
      <c r="A28" s="49"/>
      <c r="B28" s="23"/>
      <c r="C28" s="75"/>
      <c r="D28" s="60"/>
      <c r="E28" s="60"/>
      <c r="F28" s="17"/>
      <c r="G28" s="18"/>
      <c r="H28" s="20"/>
      <c r="I28" s="26"/>
      <c r="J28" s="26"/>
      <c r="K28" s="20"/>
      <c r="L28" s="68"/>
      <c r="M28" s="21"/>
    </row>
    <row r="29" spans="1:13" ht="25.5" customHeight="1" x14ac:dyDescent="0.4">
      <c r="A29" s="49"/>
      <c r="B29" s="23"/>
      <c r="C29" s="75"/>
      <c r="D29" s="60"/>
      <c r="E29" s="60"/>
      <c r="F29" s="17"/>
      <c r="G29" s="18"/>
      <c r="H29" s="20"/>
      <c r="I29" s="26"/>
      <c r="J29" s="26"/>
      <c r="K29" s="20"/>
      <c r="L29" s="68"/>
      <c r="M29" s="21"/>
    </row>
    <row r="30" spans="1:13" ht="25.5" customHeight="1" x14ac:dyDescent="0.4">
      <c r="A30" s="49"/>
      <c r="B30" s="23"/>
      <c r="C30" s="59"/>
      <c r="D30" s="60"/>
      <c r="E30" s="60"/>
      <c r="F30" s="65"/>
      <c r="G30" s="66"/>
      <c r="H30" s="20"/>
      <c r="I30" s="26"/>
      <c r="J30" s="26"/>
      <c r="K30" s="20"/>
      <c r="L30" s="68"/>
      <c r="M30" s="21"/>
    </row>
    <row r="31" spans="1:13" ht="25.5" customHeight="1" x14ac:dyDescent="0.4">
      <c r="A31" s="49"/>
      <c r="B31" s="23"/>
      <c r="C31" s="75"/>
      <c r="D31" s="60"/>
      <c r="E31" s="60"/>
      <c r="F31" s="17"/>
      <c r="G31" s="18"/>
      <c r="H31" s="20"/>
      <c r="I31" s="26"/>
      <c r="J31" s="26"/>
      <c r="K31" s="20"/>
      <c r="L31" s="68"/>
      <c r="M31" s="21"/>
    </row>
    <row r="32" spans="1:13" ht="25.5" customHeight="1" x14ac:dyDescent="0.4">
      <c r="A32" s="49"/>
      <c r="B32" s="23"/>
      <c r="C32" s="75"/>
      <c r="D32" s="60"/>
      <c r="E32" s="60"/>
      <c r="F32" s="17"/>
      <c r="G32" s="18"/>
      <c r="H32" s="20"/>
      <c r="I32" s="26"/>
      <c r="J32" s="26"/>
      <c r="K32" s="20"/>
      <c r="L32" s="68"/>
      <c r="M32" s="21"/>
    </row>
    <row r="33" spans="1:13" ht="25.5" customHeight="1" x14ac:dyDescent="0.4">
      <c r="A33" s="49"/>
      <c r="B33" s="23"/>
      <c r="C33" s="59"/>
      <c r="D33" s="60"/>
      <c r="E33" s="60"/>
      <c r="F33" s="65"/>
      <c r="G33" s="66"/>
      <c r="H33" s="20"/>
      <c r="I33" s="26"/>
      <c r="J33" s="26"/>
      <c r="K33" s="20"/>
      <c r="L33" s="68"/>
      <c r="M33" s="21"/>
    </row>
    <row r="34" spans="1:13" ht="25.5" customHeight="1" x14ac:dyDescent="0.4">
      <c r="A34" s="49"/>
      <c r="B34" s="23"/>
      <c r="C34" s="75"/>
      <c r="D34" s="60"/>
      <c r="E34" s="60"/>
      <c r="F34" s="17"/>
      <c r="G34" s="18"/>
      <c r="H34" s="20"/>
      <c r="I34" s="26"/>
      <c r="J34" s="26"/>
      <c r="K34" s="20"/>
      <c r="L34" s="68"/>
      <c r="M34" s="21"/>
    </row>
    <row r="35" spans="1:13" ht="25.5" customHeight="1" x14ac:dyDescent="0.4">
      <c r="A35" s="49"/>
      <c r="B35" s="23"/>
      <c r="C35" s="75"/>
      <c r="D35" s="60"/>
      <c r="E35" s="60"/>
      <c r="F35" s="17"/>
      <c r="G35" s="18"/>
      <c r="H35" s="20"/>
      <c r="I35" s="26"/>
      <c r="J35" s="26"/>
      <c r="K35" s="20"/>
      <c r="L35" s="68"/>
      <c r="M35" s="21"/>
    </row>
    <row r="36" spans="1:13" ht="25.5" customHeight="1" x14ac:dyDescent="0.4">
      <c r="A36" s="49"/>
      <c r="B36" s="23"/>
      <c r="C36" s="75"/>
      <c r="D36" s="60"/>
      <c r="E36" s="60"/>
      <c r="F36" s="17"/>
      <c r="G36" s="18"/>
      <c r="H36" s="20"/>
      <c r="I36" s="26"/>
      <c r="J36" s="26"/>
      <c r="K36" s="20"/>
      <c r="L36" s="68"/>
      <c r="M36" s="21"/>
    </row>
    <row r="37" spans="1:13" ht="25.5" customHeight="1" x14ac:dyDescent="0.4">
      <c r="A37" s="49"/>
      <c r="B37" s="23"/>
      <c r="C37" s="16"/>
      <c r="D37" s="60"/>
      <c r="E37" s="60"/>
      <c r="F37" s="17"/>
      <c r="G37" s="18"/>
      <c r="H37" s="20"/>
      <c r="I37" s="26"/>
      <c r="J37" s="26"/>
      <c r="K37" s="20"/>
      <c r="L37" s="68"/>
      <c r="M37" s="21"/>
    </row>
    <row r="38" spans="1:13" ht="25.5" customHeight="1" thickBot="1" x14ac:dyDescent="0.45">
      <c r="A38" s="49"/>
      <c r="B38" s="23"/>
      <c r="C38" s="16"/>
      <c r="D38" s="60"/>
      <c r="E38" s="60"/>
      <c r="F38" s="17"/>
      <c r="G38" s="18"/>
      <c r="H38" s="20"/>
      <c r="I38" s="26"/>
      <c r="J38" s="26"/>
      <c r="K38" s="20"/>
      <c r="L38" s="68"/>
      <c r="M38" s="21"/>
    </row>
    <row r="39" spans="1:13" ht="49" customHeight="1" thickTop="1" thickBot="1" x14ac:dyDescent="0.45">
      <c r="A39" s="51"/>
      <c r="B39" s="27"/>
      <c r="C39" s="28" t="s">
        <v>22</v>
      </c>
      <c r="D39" s="106" t="s">
        <v>23</v>
      </c>
      <c r="E39" s="107"/>
      <c r="F39" s="29"/>
      <c r="G39" s="30"/>
      <c r="H39" s="31">
        <f>SUM(H7:H38)</f>
        <v>16.5</v>
      </c>
      <c r="I39" s="31"/>
      <c r="J39" s="31"/>
      <c r="K39" s="31"/>
      <c r="L39" s="32">
        <f>SUM(L7:L38)</f>
        <v>3234</v>
      </c>
      <c r="M39" s="81"/>
    </row>
    <row r="40" spans="1:13" ht="32.5" customHeight="1" thickTop="1" thickBot="1" x14ac:dyDescent="0.45">
      <c r="A40" s="53"/>
      <c r="B40" s="33"/>
      <c r="C40" s="34"/>
      <c r="D40" s="35"/>
      <c r="E40" s="35"/>
      <c r="F40" s="35"/>
      <c r="G40" s="35"/>
      <c r="H40" s="35"/>
      <c r="I40" s="35"/>
      <c r="J40" s="35"/>
      <c r="K40" s="35"/>
      <c r="L40" s="36" t="s">
        <v>24</v>
      </c>
      <c r="M40" s="54">
        <f>SUM(L6:L38)</f>
        <v>3234</v>
      </c>
    </row>
    <row r="41" spans="1:13" s="6" customFormat="1" ht="23.25" customHeight="1" thickTop="1" thickBot="1" x14ac:dyDescent="0.45">
      <c r="A41" s="55" t="s">
        <v>25</v>
      </c>
      <c r="B41" s="56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8"/>
    </row>
  </sheetData>
  <mergeCells count="14">
    <mergeCell ref="J3:J4"/>
    <mergeCell ref="L3:L4"/>
    <mergeCell ref="D5:E5"/>
    <mergeCell ref="D39:E39"/>
    <mergeCell ref="A1:M1"/>
    <mergeCell ref="A2:A4"/>
    <mergeCell ref="B2:B4"/>
    <mergeCell ref="C2:C4"/>
    <mergeCell ref="D2:H2"/>
    <mergeCell ref="I2:J2"/>
    <mergeCell ref="K2:L2"/>
    <mergeCell ref="M2:M4"/>
    <mergeCell ref="F3:G3"/>
    <mergeCell ref="I3:I4"/>
  </mergeCells>
  <phoneticPr fontId="9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E3F03-8571-44DC-93D6-8C677BAAB85F}">
  <sheetPr>
    <pageSetUpPr fitToPage="1"/>
  </sheetPr>
  <dimension ref="A1:M41"/>
  <sheetViews>
    <sheetView topLeftCell="A10" zoomScale="40" zoomScaleNormal="40" workbookViewId="0">
      <selection activeCell="E10" sqref="E10"/>
    </sheetView>
  </sheetViews>
  <sheetFormatPr defaultColWidth="9" defaultRowHeight="17" x14ac:dyDescent="0.4"/>
  <cols>
    <col min="1" max="1" width="20.90625" style="3" customWidth="1"/>
    <col min="2" max="2" width="23.453125" style="3" customWidth="1"/>
    <col min="3" max="3" width="20.453125" style="3" customWidth="1"/>
    <col min="4" max="12" width="15.90625" style="3" customWidth="1"/>
    <col min="13" max="13" width="52.08984375" style="3" customWidth="1"/>
    <col min="14" max="16384" width="9" style="3"/>
  </cols>
  <sheetData>
    <row r="1" spans="1:13" ht="33.75" customHeight="1" x14ac:dyDescent="0.4">
      <c r="A1" s="108" t="str">
        <f>'0'!A1</f>
        <v>育聖文理短期補習班  115年1月份出勤考核總表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10"/>
    </row>
    <row r="2" spans="1:13" ht="23.25" customHeight="1" x14ac:dyDescent="0.4">
      <c r="A2" s="111" t="s">
        <v>0</v>
      </c>
      <c r="B2" s="114" t="s">
        <v>1</v>
      </c>
      <c r="C2" s="117" t="s">
        <v>2</v>
      </c>
      <c r="D2" s="117" t="s">
        <v>3</v>
      </c>
      <c r="E2" s="118"/>
      <c r="F2" s="118"/>
      <c r="G2" s="118"/>
      <c r="H2" s="118"/>
      <c r="I2" s="119" t="s">
        <v>4</v>
      </c>
      <c r="J2" s="120"/>
      <c r="K2" s="117" t="s">
        <v>5</v>
      </c>
      <c r="L2" s="118"/>
      <c r="M2" s="121" t="s">
        <v>6</v>
      </c>
    </row>
    <row r="3" spans="1:13" ht="21" customHeight="1" x14ac:dyDescent="0.4">
      <c r="A3" s="112"/>
      <c r="B3" s="115"/>
      <c r="C3" s="101"/>
      <c r="D3" s="99" t="s">
        <v>7</v>
      </c>
      <c r="E3" s="99" t="s">
        <v>8</v>
      </c>
      <c r="F3" s="100" t="s">
        <v>9</v>
      </c>
      <c r="G3" s="101"/>
      <c r="H3" s="99" t="s">
        <v>10</v>
      </c>
      <c r="I3" s="100" t="s">
        <v>11</v>
      </c>
      <c r="J3" s="100" t="s">
        <v>12</v>
      </c>
      <c r="K3" s="1" t="s">
        <v>13</v>
      </c>
      <c r="L3" s="102" t="s">
        <v>14</v>
      </c>
      <c r="M3" s="122"/>
    </row>
    <row r="4" spans="1:13" ht="27" x14ac:dyDescent="0.4">
      <c r="A4" s="113"/>
      <c r="B4" s="116"/>
      <c r="C4" s="101"/>
      <c r="D4" s="4" t="s">
        <v>15</v>
      </c>
      <c r="E4" s="5" t="s">
        <v>15</v>
      </c>
      <c r="F4" s="2" t="s">
        <v>16</v>
      </c>
      <c r="G4" s="99" t="s">
        <v>17</v>
      </c>
      <c r="H4" s="99" t="s">
        <v>18</v>
      </c>
      <c r="I4" s="101"/>
      <c r="J4" s="101"/>
      <c r="K4" s="1" t="s">
        <v>19</v>
      </c>
      <c r="L4" s="103"/>
      <c r="M4" s="123"/>
    </row>
    <row r="5" spans="1:13" ht="23.5" customHeight="1" x14ac:dyDescent="0.4">
      <c r="A5" s="46" t="s">
        <v>26</v>
      </c>
      <c r="B5" s="93" t="s">
        <v>45</v>
      </c>
      <c r="C5" s="8"/>
      <c r="D5" s="104" t="s">
        <v>20</v>
      </c>
      <c r="E5" s="105"/>
      <c r="F5" s="9"/>
      <c r="G5" s="10"/>
      <c r="H5" s="11"/>
      <c r="I5" s="12"/>
      <c r="J5" s="12"/>
      <c r="K5" s="12"/>
      <c r="L5" s="13"/>
      <c r="M5" s="14" t="s">
        <v>50</v>
      </c>
    </row>
    <row r="6" spans="1:13" ht="25.5" customHeight="1" x14ac:dyDescent="0.4">
      <c r="A6" s="47"/>
      <c r="B6" s="15"/>
      <c r="C6" s="39" t="s">
        <v>21</v>
      </c>
      <c r="D6" s="40"/>
      <c r="E6" s="40"/>
      <c r="F6" s="41"/>
      <c r="G6" s="42"/>
      <c r="H6" s="43">
        <f t="shared" ref="H6:H19" si="0">E6-D6</f>
        <v>0</v>
      </c>
      <c r="I6" s="44"/>
      <c r="J6" s="44"/>
      <c r="K6" s="43"/>
      <c r="L6" s="45"/>
      <c r="M6" s="63" t="s">
        <v>92</v>
      </c>
    </row>
    <row r="7" spans="1:13" ht="25.5" customHeight="1" x14ac:dyDescent="0.4">
      <c r="A7" s="48"/>
      <c r="B7" s="64"/>
      <c r="C7" s="59">
        <v>46050</v>
      </c>
      <c r="D7" s="60">
        <v>10</v>
      </c>
      <c r="E7" s="60">
        <v>12</v>
      </c>
      <c r="F7" s="65"/>
      <c r="G7" s="66"/>
      <c r="H7" s="20">
        <f t="shared" si="0"/>
        <v>2</v>
      </c>
      <c r="I7" s="67"/>
      <c r="J7" s="67"/>
      <c r="K7" s="20"/>
      <c r="L7" s="68">
        <f>196*H7</f>
        <v>392</v>
      </c>
      <c r="M7" s="69"/>
    </row>
    <row r="8" spans="1:13" ht="25.5" customHeight="1" x14ac:dyDescent="0.4">
      <c r="A8" s="22"/>
      <c r="B8" s="64"/>
      <c r="C8" s="59">
        <v>46051</v>
      </c>
      <c r="D8" s="60">
        <v>16</v>
      </c>
      <c r="E8" s="60">
        <v>19</v>
      </c>
      <c r="F8" s="65"/>
      <c r="G8" s="66"/>
      <c r="H8" s="20">
        <f t="shared" si="0"/>
        <v>3</v>
      </c>
      <c r="I8" s="67"/>
      <c r="J8" s="67"/>
      <c r="K8" s="20"/>
      <c r="L8" s="68">
        <f t="shared" ref="L8:L35" si="1">196*H8</f>
        <v>588</v>
      </c>
      <c r="M8" s="69"/>
    </row>
    <row r="9" spans="1:13" ht="25.5" customHeight="1" x14ac:dyDescent="0.4">
      <c r="A9" s="48"/>
      <c r="B9" s="64"/>
      <c r="C9" s="59">
        <v>46052</v>
      </c>
      <c r="D9" s="60">
        <v>10</v>
      </c>
      <c r="E9" s="60">
        <v>12</v>
      </c>
      <c r="F9" s="65"/>
      <c r="G9" s="66"/>
      <c r="H9" s="20">
        <f t="shared" ref="H9" si="2">E9-D9</f>
        <v>2</v>
      </c>
      <c r="I9" s="67"/>
      <c r="J9" s="67"/>
      <c r="K9" s="20"/>
      <c r="L9" s="68">
        <f t="shared" ref="L9" si="3">196*H9</f>
        <v>392</v>
      </c>
      <c r="M9" s="69"/>
    </row>
    <row r="10" spans="1:13" ht="25.5" customHeight="1" x14ac:dyDescent="0.4">
      <c r="A10" s="49"/>
      <c r="B10" s="70"/>
      <c r="C10" s="59"/>
      <c r="D10" s="60"/>
      <c r="E10" s="60"/>
      <c r="F10" s="65"/>
      <c r="G10" s="66"/>
      <c r="H10" s="20"/>
      <c r="I10" s="67"/>
      <c r="J10" s="67"/>
      <c r="K10" s="20"/>
      <c r="L10" s="68"/>
      <c r="M10" s="69"/>
    </row>
    <row r="11" spans="1:13" ht="25.5" customHeight="1" x14ac:dyDescent="0.4">
      <c r="A11" s="49"/>
      <c r="B11" s="70"/>
      <c r="C11" s="59"/>
      <c r="D11" s="60"/>
      <c r="E11" s="60"/>
      <c r="F11" s="65"/>
      <c r="G11" s="66"/>
      <c r="H11" s="20"/>
      <c r="I11" s="67"/>
      <c r="J11" s="67"/>
      <c r="K11" s="20"/>
      <c r="L11" s="68"/>
      <c r="M11" s="69"/>
    </row>
    <row r="12" spans="1:13" ht="25.5" customHeight="1" x14ac:dyDescent="0.4">
      <c r="A12" s="49"/>
      <c r="B12" s="70"/>
      <c r="C12" s="59"/>
      <c r="D12" s="60"/>
      <c r="E12" s="60"/>
      <c r="F12" s="65"/>
      <c r="G12" s="66"/>
      <c r="H12" s="20"/>
      <c r="I12" s="67"/>
      <c r="J12" s="67"/>
      <c r="K12" s="20"/>
      <c r="L12" s="68"/>
      <c r="M12" s="69"/>
    </row>
    <row r="13" spans="1:13" ht="25.5" customHeight="1" x14ac:dyDescent="0.4">
      <c r="A13" s="49"/>
      <c r="B13" s="70"/>
      <c r="C13" s="70"/>
      <c r="D13" s="60"/>
      <c r="E13" s="60"/>
      <c r="F13" s="65"/>
      <c r="G13" s="66"/>
      <c r="H13" s="20"/>
      <c r="I13" s="67"/>
      <c r="J13" s="67"/>
      <c r="K13" s="20"/>
      <c r="L13" s="68"/>
      <c r="M13" s="69"/>
    </row>
    <row r="14" spans="1:13" ht="25.5" customHeight="1" x14ac:dyDescent="0.4">
      <c r="A14" s="49"/>
      <c r="B14" s="70"/>
      <c r="C14" s="59"/>
      <c r="D14" s="60"/>
      <c r="E14" s="60"/>
      <c r="F14" s="65"/>
      <c r="G14" s="66"/>
      <c r="H14" s="20"/>
      <c r="I14" s="67"/>
      <c r="J14" s="67"/>
      <c r="K14" s="20"/>
      <c r="L14" s="68"/>
      <c r="M14" s="69"/>
    </row>
    <row r="15" spans="1:13" ht="25.5" customHeight="1" x14ac:dyDescent="0.45">
      <c r="A15" s="49"/>
      <c r="B15" s="70"/>
      <c r="C15" s="59"/>
      <c r="D15" s="60"/>
      <c r="E15" s="60"/>
      <c r="F15" s="65"/>
      <c r="G15" s="66"/>
      <c r="H15" s="20"/>
      <c r="I15" s="67"/>
      <c r="J15" s="67"/>
      <c r="K15" s="20"/>
      <c r="L15" s="68"/>
      <c r="M15" s="71"/>
    </row>
    <row r="16" spans="1:13" ht="25.5" customHeight="1" x14ac:dyDescent="0.45">
      <c r="A16" s="49"/>
      <c r="B16" s="70"/>
      <c r="C16" s="59"/>
      <c r="D16" s="60"/>
      <c r="E16" s="60"/>
      <c r="F16" s="65"/>
      <c r="G16" s="66"/>
      <c r="H16" s="20"/>
      <c r="I16" s="67"/>
      <c r="J16" s="67"/>
      <c r="K16" s="20"/>
      <c r="L16" s="68"/>
      <c r="M16" s="71"/>
    </row>
    <row r="17" spans="1:13" ht="25.5" customHeight="1" x14ac:dyDescent="0.4">
      <c r="A17" s="49"/>
      <c r="B17" s="70"/>
      <c r="C17" s="59"/>
      <c r="D17" s="60"/>
      <c r="E17" s="60"/>
      <c r="F17" s="65"/>
      <c r="G17" s="66"/>
      <c r="H17" s="20"/>
      <c r="I17" s="67"/>
      <c r="J17" s="67"/>
      <c r="K17" s="20"/>
      <c r="L17" s="68"/>
      <c r="M17" s="72"/>
    </row>
    <row r="18" spans="1:13" ht="25.5" customHeight="1" x14ac:dyDescent="0.4">
      <c r="A18" s="49"/>
      <c r="B18" s="70"/>
      <c r="C18" s="59"/>
      <c r="D18" s="60"/>
      <c r="E18" s="60"/>
      <c r="F18" s="65"/>
      <c r="G18" s="66"/>
      <c r="H18" s="20"/>
      <c r="I18" s="67"/>
      <c r="J18" s="67"/>
      <c r="K18" s="20"/>
      <c r="L18" s="68"/>
      <c r="M18" s="69"/>
    </row>
    <row r="19" spans="1:13" ht="25.5" customHeight="1" x14ac:dyDescent="0.4">
      <c r="A19" s="50"/>
      <c r="B19" s="70"/>
      <c r="C19" s="59"/>
      <c r="D19" s="60"/>
      <c r="E19" s="60"/>
      <c r="F19" s="65"/>
      <c r="G19" s="66"/>
      <c r="H19" s="20"/>
      <c r="I19" s="67"/>
      <c r="J19" s="67"/>
      <c r="K19" s="20"/>
      <c r="L19" s="68"/>
      <c r="M19" s="69"/>
    </row>
    <row r="20" spans="1:13" ht="25.5" customHeight="1" x14ac:dyDescent="0.4">
      <c r="A20" s="49"/>
      <c r="B20" s="70"/>
      <c r="C20" s="70"/>
      <c r="D20" s="60"/>
      <c r="E20" s="60"/>
      <c r="F20" s="65"/>
      <c r="G20" s="66"/>
      <c r="H20" s="20"/>
      <c r="I20" s="67"/>
      <c r="J20" s="67"/>
      <c r="K20" s="20"/>
      <c r="L20" s="68"/>
      <c r="M20" s="69"/>
    </row>
    <row r="21" spans="1:13" ht="25.5" customHeight="1" x14ac:dyDescent="0.4">
      <c r="A21" s="49"/>
      <c r="B21" s="70"/>
      <c r="C21" s="59"/>
      <c r="D21" s="60"/>
      <c r="E21" s="60"/>
      <c r="F21" s="65"/>
      <c r="G21" s="66"/>
      <c r="H21" s="20"/>
      <c r="I21" s="73"/>
      <c r="J21" s="73"/>
      <c r="K21" s="20"/>
      <c r="L21" s="68"/>
      <c r="M21" s="69"/>
    </row>
    <row r="22" spans="1:13" ht="25.5" customHeight="1" x14ac:dyDescent="0.4">
      <c r="A22" s="49"/>
      <c r="B22" s="70"/>
      <c r="C22" s="59"/>
      <c r="D22" s="60"/>
      <c r="E22" s="60"/>
      <c r="F22" s="65"/>
      <c r="G22" s="66"/>
      <c r="H22" s="20"/>
      <c r="I22" s="26"/>
      <c r="J22" s="26"/>
      <c r="K22" s="20"/>
      <c r="L22" s="68"/>
      <c r="M22" s="69"/>
    </row>
    <row r="23" spans="1:13" ht="25.5" customHeight="1" x14ac:dyDescent="0.4">
      <c r="A23" s="49"/>
      <c r="B23" s="70"/>
      <c r="C23" s="59"/>
      <c r="D23" s="60"/>
      <c r="E23" s="60"/>
      <c r="F23" s="65"/>
      <c r="G23" s="66"/>
      <c r="H23" s="20"/>
      <c r="I23" s="26"/>
      <c r="J23" s="26"/>
      <c r="K23" s="20"/>
      <c r="L23" s="68"/>
      <c r="M23" s="69"/>
    </row>
    <row r="24" spans="1:13" ht="25.5" customHeight="1" x14ac:dyDescent="0.4">
      <c r="A24" s="49"/>
      <c r="B24" s="70"/>
      <c r="C24" s="59"/>
      <c r="D24" s="60"/>
      <c r="E24" s="60"/>
      <c r="F24" s="65"/>
      <c r="G24" s="66"/>
      <c r="H24" s="20"/>
      <c r="I24" s="26"/>
      <c r="J24" s="26"/>
      <c r="K24" s="20"/>
      <c r="L24" s="68"/>
      <c r="M24" s="69"/>
    </row>
    <row r="25" spans="1:13" ht="25.5" customHeight="1" x14ac:dyDescent="0.4">
      <c r="A25" s="49"/>
      <c r="B25" s="70"/>
      <c r="C25" s="59"/>
      <c r="D25" s="60"/>
      <c r="E25" s="60"/>
      <c r="F25" s="65"/>
      <c r="G25" s="66"/>
      <c r="H25" s="20"/>
      <c r="I25" s="26"/>
      <c r="J25" s="26"/>
      <c r="K25" s="20"/>
      <c r="L25" s="68"/>
      <c r="M25" s="21"/>
    </row>
    <row r="26" spans="1:13" ht="25.5" customHeight="1" x14ac:dyDescent="0.4">
      <c r="A26" s="49"/>
      <c r="B26" s="70"/>
      <c r="C26" s="59"/>
      <c r="D26" s="60"/>
      <c r="E26" s="60"/>
      <c r="F26" s="65"/>
      <c r="G26" s="66"/>
      <c r="H26" s="20"/>
      <c r="I26" s="26"/>
      <c r="J26" s="26"/>
      <c r="K26" s="20"/>
      <c r="L26" s="68"/>
      <c r="M26" s="21"/>
    </row>
    <row r="27" spans="1:13" ht="25.5" customHeight="1" x14ac:dyDescent="0.4">
      <c r="A27" s="49"/>
      <c r="B27" s="23"/>
      <c r="C27" s="59"/>
      <c r="D27" s="60"/>
      <c r="E27" s="60"/>
      <c r="F27" s="65"/>
      <c r="G27" s="66"/>
      <c r="H27" s="20"/>
      <c r="I27" s="26"/>
      <c r="J27" s="26"/>
      <c r="K27" s="20"/>
      <c r="L27" s="68"/>
      <c r="M27" s="21"/>
    </row>
    <row r="28" spans="1:13" ht="25.5" customHeight="1" x14ac:dyDescent="0.4">
      <c r="A28" s="49"/>
      <c r="B28" s="23"/>
      <c r="C28" s="75"/>
      <c r="D28" s="60"/>
      <c r="E28" s="60"/>
      <c r="F28" s="17"/>
      <c r="G28" s="18"/>
      <c r="H28" s="20"/>
      <c r="I28" s="26"/>
      <c r="J28" s="26"/>
      <c r="K28" s="20"/>
      <c r="L28" s="68"/>
      <c r="M28" s="21"/>
    </row>
    <row r="29" spans="1:13" ht="25.5" customHeight="1" x14ac:dyDescent="0.4">
      <c r="A29" s="49"/>
      <c r="B29" s="23"/>
      <c r="C29" s="75"/>
      <c r="D29" s="60"/>
      <c r="E29" s="60"/>
      <c r="F29" s="17"/>
      <c r="G29" s="18"/>
      <c r="H29" s="20"/>
      <c r="I29" s="26"/>
      <c r="J29" s="26"/>
      <c r="K29" s="20"/>
      <c r="L29" s="68"/>
      <c r="M29" s="21"/>
    </row>
    <row r="30" spans="1:13" ht="25.5" customHeight="1" x14ac:dyDescent="0.4">
      <c r="A30" s="49"/>
      <c r="B30" s="23"/>
      <c r="C30" s="59"/>
      <c r="D30" s="60"/>
      <c r="E30" s="60"/>
      <c r="F30" s="65"/>
      <c r="G30" s="66"/>
      <c r="H30" s="20"/>
      <c r="I30" s="26"/>
      <c r="J30" s="26"/>
      <c r="K30" s="20"/>
      <c r="L30" s="68"/>
      <c r="M30" s="21"/>
    </row>
    <row r="31" spans="1:13" ht="25.5" customHeight="1" x14ac:dyDescent="0.4">
      <c r="A31" s="49"/>
      <c r="B31" s="23"/>
      <c r="C31" s="75"/>
      <c r="D31" s="60"/>
      <c r="E31" s="60"/>
      <c r="F31" s="17"/>
      <c r="G31" s="18"/>
      <c r="H31" s="20"/>
      <c r="I31" s="26"/>
      <c r="J31" s="26"/>
      <c r="K31" s="20"/>
      <c r="L31" s="68"/>
      <c r="M31" s="21"/>
    </row>
    <row r="32" spans="1:13" ht="25.5" customHeight="1" x14ac:dyDescent="0.4">
      <c r="A32" s="49"/>
      <c r="B32" s="23"/>
      <c r="C32" s="75"/>
      <c r="D32" s="60"/>
      <c r="E32" s="60"/>
      <c r="F32" s="17"/>
      <c r="G32" s="18"/>
      <c r="H32" s="20"/>
      <c r="I32" s="26"/>
      <c r="J32" s="26"/>
      <c r="K32" s="20"/>
      <c r="L32" s="68"/>
      <c r="M32" s="21"/>
    </row>
    <row r="33" spans="1:13" ht="25.5" customHeight="1" x14ac:dyDescent="0.4">
      <c r="A33" s="49"/>
      <c r="B33" s="23"/>
      <c r="C33" s="59"/>
      <c r="D33" s="60"/>
      <c r="E33" s="60"/>
      <c r="F33" s="65"/>
      <c r="G33" s="66"/>
      <c r="H33" s="20"/>
      <c r="I33" s="26"/>
      <c r="J33" s="26"/>
      <c r="K33" s="20"/>
      <c r="L33" s="68"/>
      <c r="M33" s="21"/>
    </row>
    <row r="34" spans="1:13" ht="25.5" customHeight="1" x14ac:dyDescent="0.4">
      <c r="A34" s="49"/>
      <c r="B34" s="23"/>
      <c r="C34" s="75"/>
      <c r="D34" s="60"/>
      <c r="E34" s="60"/>
      <c r="F34" s="17"/>
      <c r="G34" s="18"/>
      <c r="H34" s="20"/>
      <c r="I34" s="26"/>
      <c r="J34" s="26"/>
      <c r="K34" s="20"/>
      <c r="L34" s="68"/>
      <c r="M34" s="21"/>
    </row>
    <row r="35" spans="1:13" ht="25.5" customHeight="1" x14ac:dyDescent="0.4">
      <c r="A35" s="49"/>
      <c r="B35" s="23"/>
      <c r="C35" s="75"/>
      <c r="D35" s="60"/>
      <c r="E35" s="60"/>
      <c r="F35" s="17"/>
      <c r="G35" s="18"/>
      <c r="H35" s="20"/>
      <c r="I35" s="26"/>
      <c r="J35" s="26"/>
      <c r="K35" s="20"/>
      <c r="L35" s="68"/>
      <c r="M35" s="21"/>
    </row>
    <row r="36" spans="1:13" ht="25.5" customHeight="1" x14ac:dyDescent="0.4">
      <c r="A36" s="49"/>
      <c r="B36" s="23"/>
      <c r="C36" s="75"/>
      <c r="D36" s="60"/>
      <c r="E36" s="60"/>
      <c r="F36" s="17"/>
      <c r="G36" s="18"/>
      <c r="H36" s="20"/>
      <c r="I36" s="26"/>
      <c r="J36" s="26"/>
      <c r="K36" s="20"/>
      <c r="L36" s="68"/>
      <c r="M36" s="21"/>
    </row>
    <row r="37" spans="1:13" ht="25.5" customHeight="1" x14ac:dyDescent="0.4">
      <c r="A37" s="49"/>
      <c r="B37" s="23"/>
      <c r="C37" s="16"/>
      <c r="D37" s="60"/>
      <c r="E37" s="60"/>
      <c r="F37" s="17"/>
      <c r="G37" s="18"/>
      <c r="H37" s="20"/>
      <c r="I37" s="26"/>
      <c r="J37" s="26"/>
      <c r="K37" s="20"/>
      <c r="L37" s="68"/>
      <c r="M37" s="21"/>
    </row>
    <row r="38" spans="1:13" ht="25.5" customHeight="1" thickBot="1" x14ac:dyDescent="0.45">
      <c r="A38" s="49"/>
      <c r="B38" s="23"/>
      <c r="C38" s="16"/>
      <c r="D38" s="60"/>
      <c r="E38" s="60"/>
      <c r="F38" s="17"/>
      <c r="G38" s="18"/>
      <c r="H38" s="20"/>
      <c r="I38" s="26"/>
      <c r="J38" s="26"/>
      <c r="K38" s="20"/>
      <c r="L38" s="68"/>
      <c r="M38" s="21"/>
    </row>
    <row r="39" spans="1:13" ht="49" customHeight="1" thickTop="1" thickBot="1" x14ac:dyDescent="0.45">
      <c r="A39" s="51"/>
      <c r="B39" s="27"/>
      <c r="C39" s="28" t="s">
        <v>22</v>
      </c>
      <c r="D39" s="106" t="s">
        <v>23</v>
      </c>
      <c r="E39" s="107"/>
      <c r="F39" s="29"/>
      <c r="G39" s="30"/>
      <c r="H39" s="31">
        <f>SUM(H7:H38)</f>
        <v>7</v>
      </c>
      <c r="I39" s="31"/>
      <c r="J39" s="31"/>
      <c r="K39" s="31"/>
      <c r="L39" s="32">
        <f>SUM(L7:L38)</f>
        <v>1372</v>
      </c>
      <c r="M39" s="81"/>
    </row>
    <row r="40" spans="1:13" ht="32.5" customHeight="1" thickTop="1" thickBot="1" x14ac:dyDescent="0.45">
      <c r="A40" s="53"/>
      <c r="B40" s="33"/>
      <c r="C40" s="34"/>
      <c r="D40" s="35"/>
      <c r="E40" s="35"/>
      <c r="F40" s="35"/>
      <c r="G40" s="35"/>
      <c r="H40" s="35"/>
      <c r="I40" s="35"/>
      <c r="J40" s="35"/>
      <c r="K40" s="35"/>
      <c r="L40" s="36" t="s">
        <v>24</v>
      </c>
      <c r="M40" s="54">
        <f>SUM(L6:L38)</f>
        <v>1372</v>
      </c>
    </row>
    <row r="41" spans="1:13" s="6" customFormat="1" ht="23.25" customHeight="1" thickTop="1" thickBot="1" x14ac:dyDescent="0.45">
      <c r="A41" s="55" t="s">
        <v>25</v>
      </c>
      <c r="B41" s="56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8"/>
    </row>
  </sheetData>
  <mergeCells count="14">
    <mergeCell ref="J3:J4"/>
    <mergeCell ref="L3:L4"/>
    <mergeCell ref="D5:E5"/>
    <mergeCell ref="D39:E39"/>
    <mergeCell ref="A1:M1"/>
    <mergeCell ref="A2:A4"/>
    <mergeCell ref="B2:B4"/>
    <mergeCell ref="C2:C4"/>
    <mergeCell ref="D2:H2"/>
    <mergeCell ref="I2:J2"/>
    <mergeCell ref="K2:L2"/>
    <mergeCell ref="M2:M4"/>
    <mergeCell ref="F3:G3"/>
    <mergeCell ref="I3:I4"/>
  </mergeCells>
  <phoneticPr fontId="9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具名範圍</vt:lpstr>
      </vt:variant>
      <vt:variant>
        <vt:i4>10</vt:i4>
      </vt:variant>
    </vt:vector>
  </HeadingPairs>
  <TitlesOfParts>
    <vt:vector size="20" baseType="lpstr">
      <vt:lpstr>0</vt:lpstr>
      <vt:lpstr>黃筱渝Vicky</vt:lpstr>
      <vt:lpstr>林佳琪Jin</vt:lpstr>
      <vt:lpstr>董嘉恩Ian</vt:lpstr>
      <vt:lpstr>呂奕葳Eva</vt:lpstr>
      <vt:lpstr>蔡孟凌 Vicky</vt:lpstr>
      <vt:lpstr>李苡寧Sabrina</vt:lpstr>
      <vt:lpstr>辜郁慈Tina</vt:lpstr>
      <vt:lpstr>葉庭蓁Kitty</vt:lpstr>
      <vt:lpstr>鳳文嫙Wendy</vt:lpstr>
      <vt:lpstr>'0'!Print_Area</vt:lpstr>
      <vt:lpstr>呂奕葳Eva!Print_Area</vt:lpstr>
      <vt:lpstr>李苡寧Sabrina!Print_Area</vt:lpstr>
      <vt:lpstr>林佳琪Jin!Print_Area</vt:lpstr>
      <vt:lpstr>辜郁慈Tina!Print_Area</vt:lpstr>
      <vt:lpstr>黃筱渝Vicky!Print_Area</vt:lpstr>
      <vt:lpstr>葉庭蓁Kitty!Print_Area</vt:lpstr>
      <vt:lpstr>董嘉恩Ian!Print_Area</vt:lpstr>
      <vt:lpstr>鳳文嫙Wendy!Print_Area</vt:lpstr>
      <vt:lpstr>'蔡孟凌 Vicky'!Print_Area</vt:lpstr>
    </vt:vector>
  </TitlesOfParts>
  <Manager/>
  <Company>C.M.T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wei eva</cp:lastModifiedBy>
  <cp:revision/>
  <dcterms:created xsi:type="dcterms:W3CDTF">2011-04-03T12:46:14Z</dcterms:created>
  <dcterms:modified xsi:type="dcterms:W3CDTF">2026-02-06T03:24:13Z</dcterms:modified>
  <cp:category/>
  <cp:contentStatus/>
</cp:coreProperties>
</file>